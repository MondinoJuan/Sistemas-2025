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os" sheetId="1" r:id="rId4"/>
    <sheet state="visible" name="ActivosInformación" sheetId="2" r:id="rId5"/>
    <sheet state="visible" name="Software" sheetId="3" r:id="rId6"/>
    <sheet state="visible" name="Hardware" sheetId="4" r:id="rId7"/>
    <sheet state="visible" name="Activos de Soporte" sheetId="5" r:id="rId8"/>
    <sheet state="visible" name="Equipamiento" sheetId="6" r:id="rId9"/>
    <sheet state="visible" name="Instalaciones" sheetId="7" r:id="rId10"/>
    <sheet state="visible" name="Servicios" sheetId="8" r:id="rId11"/>
    <sheet state="visible" name="RiesgosInherentes" sheetId="9" r:id="rId12"/>
  </sheets>
  <definedNames/>
  <calcPr/>
  <extLst>
    <ext uri="GoogleSheetsCustomDataVersion2">
      <go:sheetsCustomData xmlns:go="http://customooxmlschemas.google.com/" r:id="rId13" roundtripDataChecksum="cnNDZl1GzPONWiyXFTRRzEqWqj7AE8pEfmaMP8jncXA="/>
    </ext>
  </extLst>
</workbook>
</file>

<file path=xl/sharedStrings.xml><?xml version="1.0" encoding="utf-8"?>
<sst xmlns="http://schemas.openxmlformats.org/spreadsheetml/2006/main" count="460" uniqueCount="287">
  <si>
    <t>ID</t>
  </si>
  <si>
    <t>Activo de Proceso</t>
  </si>
  <si>
    <t>Descripción</t>
  </si>
  <si>
    <t>Dueño</t>
  </si>
  <si>
    <t>Custodios (personal relacionado al proceso)</t>
  </si>
  <si>
    <t>Confidencialidad</t>
  </si>
  <si>
    <t>Integridad</t>
  </si>
  <si>
    <t>Disponibilidad</t>
  </si>
  <si>
    <t>Autenticidad</t>
  </si>
  <si>
    <t>Trazabilidad</t>
  </si>
  <si>
    <t>Criticidad</t>
  </si>
  <si>
    <t>Dependencias con otros activos (inmediatas)</t>
  </si>
  <si>
    <t>PO_EXA</t>
  </si>
  <si>
    <t>Exámenes</t>
  </si>
  <si>
    <t>Proceso operativo de Exámenes Normales. Correspondiente a la cadena de valor de la función Docencia. Su reglamentación está descripta en el Estatuto Universitario y en el Reglamento de Estudios. Se desarrolla en las fechas determinadas por la Resolución anual del Calendario Académico</t>
  </si>
  <si>
    <t>Jefe de Legajos y Actas (LyA)</t>
  </si>
  <si>
    <t>Jefe de Legajos y Actas - Directores de Departamento - Presidentes de Mesa - Personal de Bedelía</t>
  </si>
  <si>
    <t>Personal que participa del Proceso: Docentes, Bedeles, Director del Departamento. Información: Resolución del Calendario Académico CD. Software: SYSACAD</t>
  </si>
  <si>
    <t>PG_PLC</t>
  </si>
  <si>
    <t>Creación del Plan de Carrera</t>
  </si>
  <si>
    <t>Proceso de Gestión...</t>
  </si>
  <si>
    <t>Consejo Superior</t>
  </si>
  <si>
    <t>Información: Estatuto Universitario</t>
  </si>
  <si>
    <t>PG_CAL</t>
  </si>
  <si>
    <t>Calendario Académico</t>
  </si>
  <si>
    <t>Consejo Directivo</t>
  </si>
  <si>
    <t>Información: Estatuto Universitario - Reglamento de Estudios</t>
  </si>
  <si>
    <t>PO_CAN</t>
  </si>
  <si>
    <t>Cursado Anual</t>
  </si>
  <si>
    <t>Proceso operativo de Cursado Anual....</t>
  </si>
  <si>
    <t>Director de Departamento</t>
  </si>
  <si>
    <t>Información: Estatuto Universitario - Reglamento de Estudios - Plan de Carrera.
Procesos: Todos los procesos de Gestión  y de Soporte de la cadena de Valor de la Función Docencia previos al Cursado Anual</t>
  </si>
  <si>
    <t>PO_REXA</t>
  </si>
  <si>
    <t>Revisión de Exámenes</t>
  </si>
  <si>
    <t>Secretario Académico</t>
  </si>
  <si>
    <t>Información: Estatuto Universitario - Reglamento de Estudios - Plan de Carrera - Planificación de Cátedra.
Activos de Soporte: Cajas con Exámenes Físicos</t>
  </si>
  <si>
    <t>Activo de Información</t>
  </si>
  <si>
    <t>Activos de Soporte (Contenedores) Los indicados con (*) deben ser analizados en Activos de Soporte</t>
  </si>
  <si>
    <t>Custodios (personal de…)</t>
  </si>
  <si>
    <t>Acceso</t>
  </si>
  <si>
    <t>Origen</t>
  </si>
  <si>
    <t>I_EXA001</t>
  </si>
  <si>
    <t>Nómina de Ternas de Exámenes</t>
  </si>
  <si>
    <t>Documentación del Proceso. Se requiere para corroborar las ternas de exámenes. Solo llega el correo a los Presidentes de cada terna de exámenes. No todos los integrantes de las ternas pertenecen a la cátedra de la asignatura de una mesa de exámenes</t>
  </si>
  <si>
    <t xml:space="preserve">Director de Departamento </t>
  </si>
  <si>
    <t>Digital (archivo en .pdf)</t>
  </si>
  <si>
    <t>Administrativo Depto. Carrera</t>
  </si>
  <si>
    <t>Todas las personas a traves de la web</t>
  </si>
  <si>
    <t>Hardware: Infraestructura Tecnológica Departamentos de Carrera. Página web</t>
  </si>
  <si>
    <t>Servidor de Correo Electrónico (*)</t>
  </si>
  <si>
    <t>Reservado Docentes y Administrativo Depto.Carrera</t>
  </si>
  <si>
    <t>Software: Servidor de Correo Electrónico</t>
  </si>
  <si>
    <t>I_EXA002</t>
  </si>
  <si>
    <t>Registro de Mesas de Exámenes</t>
  </si>
  <si>
    <t>Se requiere para iniciar el proceso de inscripción a Exámenes y generar el Acta de Exámenes</t>
  </si>
  <si>
    <t>Base de Datos del SYSACAD (*)</t>
  </si>
  <si>
    <t>Personal de Redes</t>
  </si>
  <si>
    <t>Reservado a Alumnos / Integrantes Terna de cada Mesa de Examen</t>
  </si>
  <si>
    <t>Personal Administrativo LyA</t>
  </si>
  <si>
    <t xml:space="preserve">Información: Credenciales de Acceso  Software: SYSACAD </t>
  </si>
  <si>
    <t>I_EXA003</t>
  </si>
  <si>
    <t>Formulario de Inscripción a Exámenes</t>
  </si>
  <si>
    <t>Documentación del Proceso. Se requiere para generar el Acta de Examen. Cuando el formulario es impreso por el alumno no requiere ser controlado por parte de la UTN</t>
  </si>
  <si>
    <t>Alumno</t>
  </si>
  <si>
    <t xml:space="preserve">Base de Datos del SYSACAD </t>
  </si>
  <si>
    <t>Reservado a LyA / Integrantes Terna de cada Mesa de Examen</t>
  </si>
  <si>
    <t>Información: Credenciales de Acceso  Software: SYSACAD Hardware: Infraestructura Tecnológica  (Servidores - Comunicaciones)</t>
  </si>
  <si>
    <t>I_EXA004</t>
  </si>
  <si>
    <t>Acta de Examen</t>
  </si>
  <si>
    <t>Documento Legal.  El envío por bolsa no debe ser adulterado por el Servicio de Correo</t>
  </si>
  <si>
    <t>Formulario individual en Papel</t>
  </si>
  <si>
    <t>Bedelía / Jefe de Cátedra / Presidente de Mesa</t>
  </si>
  <si>
    <t xml:space="preserve">Reservado a Bedelía / Integrantes de Terna </t>
  </si>
  <si>
    <t>Instalaciones:  LyA - Bedelia</t>
  </si>
  <si>
    <t>Carpeta</t>
  </si>
  <si>
    <t>Bedeles</t>
  </si>
  <si>
    <t>Reservado a Bedelía</t>
  </si>
  <si>
    <t>Instalaciones: Bedelía</t>
  </si>
  <si>
    <t>Reservado Lya / Alumno / Depto. Títulos</t>
  </si>
  <si>
    <t>Bolsa para traslado a Rectorado (*)</t>
  </si>
  <si>
    <t>Personal del Servicio de Correo</t>
  </si>
  <si>
    <t>Confidencial</t>
  </si>
  <si>
    <t>Instalaciones:  LyA - Mesa de Entradas Servicios: Correo Postal</t>
  </si>
  <si>
    <t>I_EXA005</t>
  </si>
  <si>
    <t>Lista de Asistencia</t>
  </si>
  <si>
    <t>Documentación del Proceso. Puede reconstruirse a partir del Acta de Exámenes. Se necesita para el Proceso de Liquidación de Haberes</t>
  </si>
  <si>
    <t>Jefe de RRHH</t>
  </si>
  <si>
    <t>Papel</t>
  </si>
  <si>
    <t>Bedelía</t>
  </si>
  <si>
    <t>Reservado a Docentes Ternas Examinadoras / Bedelía / RRHH</t>
  </si>
  <si>
    <t>I_EXA006</t>
  </si>
  <si>
    <t>Planilla entrega de Actas</t>
  </si>
  <si>
    <t>Documentación del Proceso. Es un elemento que puede servir para la trazabilidad del Acta de Exámenes</t>
  </si>
  <si>
    <t>Bedelía y Legajos y Actas</t>
  </si>
  <si>
    <t>I_EXA007</t>
  </si>
  <si>
    <t>Exámenes Físicos</t>
  </si>
  <si>
    <t>Documento Legal. Su disponibilidad es exigible para cuestiones de auditoría y revisión de exámenes</t>
  </si>
  <si>
    <t>Papel - CD/DVD</t>
  </si>
  <si>
    <t>Terna Examinadora (mientras se desarrolla la mesa de examen)</t>
  </si>
  <si>
    <t>Reservado Alumno - Terna Examinadora</t>
  </si>
  <si>
    <t>Instalaciones: Departamentos de Carrera</t>
  </si>
  <si>
    <t>Sobres /Cajas en Departamento (*)</t>
  </si>
  <si>
    <t>Director de Departamento - Personal Administrativo Departamento</t>
  </si>
  <si>
    <t>Alumno - Terna Examinadora - Director Departamento - Evaluadores de CONEAU</t>
  </si>
  <si>
    <t>Presidente Mesa Examinadora</t>
  </si>
  <si>
    <t>Planilla de Entrega de Exámenes Físicos</t>
  </si>
  <si>
    <t>Documento del Proceso. Sirve para identificar la entrega en tiempo y forma de los exámenes físicos para ser archivados en el Departamento correspondiente</t>
  </si>
  <si>
    <t>Reservado a Personal del Departamento y Docentes que entregan los sobres de exámenes</t>
  </si>
  <si>
    <t>Personal del Departamento</t>
  </si>
  <si>
    <t>I_TI001</t>
  </si>
  <si>
    <t>Credenciales de Acceso al SYSACAD</t>
  </si>
  <si>
    <t>Credenciales de acceso al SYSACAD: usuario y contraseñas</t>
  </si>
  <si>
    <t>Usuario del SYSACAD</t>
  </si>
  <si>
    <t>Base de Datos SYSACAD (*)</t>
  </si>
  <si>
    <t>Redes</t>
  </si>
  <si>
    <t>Reservado al usuario del SYSACAD</t>
  </si>
  <si>
    <t>Usuario</t>
  </si>
  <si>
    <t>Hardware: Redes de Comunicaciones. Software: SYSACAD</t>
  </si>
  <si>
    <t>I_CAL001</t>
  </si>
  <si>
    <t>Resolución  del Calendario Académico</t>
  </si>
  <si>
    <t>Documento Legal del Proceso Cursado Anual.  Es información que está disponible mucho antes del primer turno de exámenes por lo que no es relevante para este proceso</t>
  </si>
  <si>
    <t>Consejo Directivo (CD)</t>
  </si>
  <si>
    <t>Area Administrativa CD</t>
  </si>
  <si>
    <t>Reservado al CD</t>
  </si>
  <si>
    <t>CD</t>
  </si>
  <si>
    <t>Instalaciones: CD</t>
  </si>
  <si>
    <t>Bibliorato con originales Resoluciones Consejo Directivo (*)</t>
  </si>
  <si>
    <t>Digital publicado en Web</t>
  </si>
  <si>
    <t>Público</t>
  </si>
  <si>
    <t>Administrativo CD</t>
  </si>
  <si>
    <t>Software: Sitio Web Servicios: Internet</t>
  </si>
  <si>
    <t>I_CAN001</t>
  </si>
  <si>
    <t>Planificación de Cátedra</t>
  </si>
  <si>
    <t>Documentación del Proceso Cursado Anual. Se requiere para controlar el cursado anual y las pautas para el exámen</t>
  </si>
  <si>
    <t>Jefe de Cátedra</t>
  </si>
  <si>
    <t>Reservado al Consejo Departamental</t>
  </si>
  <si>
    <t>Jefes de Cátedra</t>
  </si>
  <si>
    <t>Instalaciones Consejo Departamental</t>
  </si>
  <si>
    <t>Digital  (enviado por correo - publicado en la Web)</t>
  </si>
  <si>
    <t>Administrativo Departamento</t>
  </si>
  <si>
    <t>Software: Servidor de Correo - Sitio Web</t>
  </si>
  <si>
    <t>I_PG001</t>
  </si>
  <si>
    <t>Diseño Curricular Plan de Carrera</t>
  </si>
  <si>
    <t>Documento Legal del Proceso de Creación/Modificación del Plan de Estudio de Carreras</t>
  </si>
  <si>
    <t>Digital - Publicado en Web</t>
  </si>
  <si>
    <t>Consejo Superior (CS)</t>
  </si>
  <si>
    <t>I_PC002</t>
  </si>
  <si>
    <t>Registro de Correlatividades Plan de Carrera</t>
  </si>
  <si>
    <t>Se requiere para los procesos de inscripción a asignaturas y a exámenes</t>
  </si>
  <si>
    <t>Base de Datos SYSACAD</t>
  </si>
  <si>
    <t>Activo</t>
  </si>
  <si>
    <t>Custodio</t>
  </si>
  <si>
    <t>SW_REDES001</t>
  </si>
  <si>
    <t>SYSACAD</t>
  </si>
  <si>
    <t xml:space="preserve">Sistema de Gestión de las actividades académicas de la UTN. El desarrollo es realizado por la UTN-FR Córdoba. Pueden realizarse modificaciones regionales. </t>
  </si>
  <si>
    <t>Jefe de Redes</t>
  </si>
  <si>
    <t>Todos los usuarios con permiso de acceso</t>
  </si>
  <si>
    <t>Departamento de SIstemas Facultad Regional Córdoba</t>
  </si>
  <si>
    <t>Sofware: Gestor de Base de Datos. Hardware: Servidor de Aplicaciones Información: Credenciales de Acceso</t>
  </si>
  <si>
    <t xml:space="preserve">Microsoft SQL Server </t>
  </si>
  <si>
    <t>Gestor de Base de Datos</t>
  </si>
  <si>
    <t>Administrador de Redes</t>
  </si>
  <si>
    <t>Procesos: Compras y Patrimonio por la Licencia de Uso</t>
  </si>
  <si>
    <t>Sofware: Sistema Operativo Hardware: Servidor de Aplicaciones</t>
  </si>
  <si>
    <t>HW_REDES001</t>
  </si>
  <si>
    <t>Cableado de Red</t>
  </si>
  <si>
    <t>Cableado de la Red interna que conecta a todos los usuarios de la Facultad Regional Rosario</t>
  </si>
  <si>
    <t>Personal de Redes. Personal de Mantenimiento</t>
  </si>
  <si>
    <t>Procesos: Compras y Patrimonio por la asignación del activo al Área de Redes</t>
  </si>
  <si>
    <t>HW_REDES002</t>
  </si>
  <si>
    <t>Servidor de Datos</t>
  </si>
  <si>
    <t>Servidor donde se ejecutan los Sistemas de la Facultad Regional y se almacenan las Bases de Datos</t>
  </si>
  <si>
    <t>HW_REDES003</t>
  </si>
  <si>
    <t>Servidor de Correo</t>
  </si>
  <si>
    <t>Servidor donde se ejecuta el servicio de correo electrónico y se almacenan todos los emails de las cuentas @frro.utn.edu.ar</t>
  </si>
  <si>
    <t>HW_LYA001</t>
  </si>
  <si>
    <t>Impresoras de Legajos y Actas</t>
  </si>
  <si>
    <t>Impresoras asignadas a Legajos y Actas</t>
  </si>
  <si>
    <t>Jefe de Legajos y Actas</t>
  </si>
  <si>
    <t>Personal de Legajos y Actas</t>
  </si>
  <si>
    <t>Procesos: Compras y Patrimonio por la asignación del activo al Área de Legajos y Actas</t>
  </si>
  <si>
    <t>Procesos: Compras - Patrimonio</t>
  </si>
  <si>
    <t>Custodios</t>
  </si>
  <si>
    <t>SI_REDES001</t>
  </si>
  <si>
    <t>Base de Datos que almacena toda la información del SYSACAD</t>
  </si>
  <si>
    <t>Administrador y Usuarios con perfiles de acceso determinados</t>
  </si>
  <si>
    <t>Software: Gestor de Base de Datos - Hardware: Servidor de Datos. Instalaciones: Redes</t>
  </si>
  <si>
    <t>SI_EXA001</t>
  </si>
  <si>
    <t>Cajas con sobres de Exámenes Departamento de Carrera</t>
  </si>
  <si>
    <t>Contiene los Sobres donde se deben guardar los exámenes físicos durante el período en que pueden ser auditados</t>
  </si>
  <si>
    <t>Director Departamento de Carrera</t>
  </si>
  <si>
    <t>Administrativos Departamento Carrera</t>
  </si>
  <si>
    <t>Director de Departamento - Evaluadores de CONEAU - Revisores de Exámenes</t>
  </si>
  <si>
    <t>Instalaciones: Departamento de Carrera</t>
  </si>
  <si>
    <t>EQ_DEP_001</t>
  </si>
  <si>
    <t>Mobiliario para el resguardo de Documentación critica</t>
  </si>
  <si>
    <t>Mobiliario para el resguardo de Documentación</t>
  </si>
  <si>
    <t>Personal Administrativo del Departamento</t>
  </si>
  <si>
    <t>INS_001</t>
  </si>
  <si>
    <t>Instalaciones de Bedelía</t>
  </si>
  <si>
    <t>Espacios del edificio asignados al Departamento de Bedelía</t>
  </si>
  <si>
    <t>Decano</t>
  </si>
  <si>
    <t>Jefe de Bedelía</t>
  </si>
  <si>
    <t>Todos las personas que acceden a la organización y que requieren servicios del Departamento de Bedelía</t>
  </si>
  <si>
    <t>Servicios: Provisión de Energía Eléctrica - Provisión de Gas - Provisión de Agua Corriente</t>
  </si>
  <si>
    <t>INS_002</t>
  </si>
  <si>
    <t>Instalaciones Departamentos de Carrera</t>
  </si>
  <si>
    <t>Espacios del edificio asignados al Departamento de Carrera</t>
  </si>
  <si>
    <t>Docentes y Alumnos del Departamento de Carrera
Personal de Mantenimiento</t>
  </si>
  <si>
    <t>Instalaciones del Área d Redes</t>
  </si>
  <si>
    <t>SER_001</t>
  </si>
  <si>
    <t>Servicio de Internet</t>
  </si>
  <si>
    <t>Servicio contratado para el acceso externo a los recursos de información de la Facultad Regional</t>
  </si>
  <si>
    <t>Todos las personas que acceden a la organización</t>
  </si>
  <si>
    <t>SER_002</t>
  </si>
  <si>
    <t>Servicio de Provisión de Energía Eléctrica</t>
  </si>
  <si>
    <t>Servicio que brinda la EPE</t>
  </si>
  <si>
    <t>Jefe de Mantenimiento</t>
  </si>
  <si>
    <t>Personal de Mantenimiento</t>
  </si>
  <si>
    <t>Amenazas</t>
  </si>
  <si>
    <t>Vulnerabilidades que explota</t>
  </si>
  <si>
    <t xml:space="preserve">Observaciones para el cálculo de la probabilidad </t>
  </si>
  <si>
    <t>Observaciones para el cálculo del Impacto</t>
  </si>
  <si>
    <t>Probabilidad</t>
  </si>
  <si>
    <t>Impacto</t>
  </si>
  <si>
    <t>Severidad</t>
  </si>
  <si>
    <t>ID. Riesgo</t>
  </si>
  <si>
    <t>Especificación del Riesgo</t>
  </si>
  <si>
    <t>Clasificación</t>
  </si>
  <si>
    <t xml:space="preserve">Actor / Otras Amenazas </t>
  </si>
  <si>
    <t>Motivo</t>
  </si>
  <si>
    <t>Resultado</t>
  </si>
  <si>
    <t>Clase</t>
  </si>
  <si>
    <t>Subclase</t>
  </si>
  <si>
    <t>Elemento</t>
  </si>
  <si>
    <t>Registro del Acta de Examen en el SYSACAD</t>
  </si>
  <si>
    <t>Por Red</t>
  </si>
  <si>
    <t>Personal con acceso al registro de Actas</t>
  </si>
  <si>
    <t>Deliberado</t>
  </si>
  <si>
    <t>Modificar el registro de nota final del examen. Actúa sobre la integridad de la activo.</t>
  </si>
  <si>
    <t>Valores del Personal que participa del Proceso. 
Momento de detección: solo puede ser detectado en el momento que el alumno solicita el trámite del título. 
Imposibilidad de Trazabilidad: Solo pueden ser identificados los usuarios con permiso de acceso pero no los usuarios que efectivamente realizaron la modificación
Controles de Actas Digitalizadas: Las Actas Digitalizadas no están previstas en ningún proceso formal. No pueden ser utilizadas como respaldo legal al momento de una auditoría</t>
  </si>
  <si>
    <r>
      <rPr>
        <rFont val="Arial"/>
        <b/>
        <color theme="1"/>
        <sz val="10.0"/>
      </rPr>
      <t>Contacto</t>
    </r>
    <r>
      <rPr>
        <rFont val="Arial"/>
        <color rgb="FF000000"/>
        <sz val="10.0"/>
      </rPr>
      <t xml:space="preserve">: El acceso al sistema es periódico.  
</t>
    </r>
    <r>
      <rPr>
        <rFont val="Arial"/>
        <b/>
        <color theme="1"/>
        <sz val="10.0"/>
      </rPr>
      <t>Acción</t>
    </r>
    <r>
      <rPr>
        <rFont val="Arial"/>
        <color rgb="FF000000"/>
        <sz val="10.0"/>
      </rPr>
      <t xml:space="preserve">: Beneficio: Patrocinio por parte de un alumno. Nivel de Esfuerzo:  Bajo o Inexistente. Riesgo de Detección: Bajo. Solo existen sanciones administrativas previstas en caso de ser probado el fraude. 
</t>
    </r>
    <r>
      <rPr>
        <rFont val="Arial"/>
        <b/>
        <color theme="1"/>
        <sz val="10.0"/>
      </rPr>
      <t>Capacidad de la amenaza:</t>
    </r>
    <r>
      <rPr>
        <rFont val="Arial"/>
        <color rgb="FF000000"/>
        <sz val="10.0"/>
      </rPr>
      <t xml:space="preserve"> Tiene recursos y habilidades suficientes para materializar la amenaza. 
</t>
    </r>
    <r>
      <rPr>
        <rFont val="Arial"/>
        <b/>
        <color theme="1"/>
        <sz val="10.0"/>
      </rPr>
      <t xml:space="preserve">Capacidad de Resistencia: </t>
    </r>
    <r>
      <rPr>
        <rFont val="Arial"/>
        <color rgb="FF000000"/>
        <sz val="10.0"/>
      </rPr>
      <t xml:space="preserve">no existen auditorías posteriores al registro de Actas de Exámenes. Solo se realizan para la emisión del título. No existe trazabilidad en los procesos de registro de datos del SYSACAD. </t>
    </r>
  </si>
  <si>
    <r>
      <rPr>
        <rFont val="Arial"/>
        <b/>
        <color theme="1"/>
        <sz val="10.0"/>
      </rPr>
      <t xml:space="preserve">Sobre el activo: </t>
    </r>
    <r>
      <rPr>
        <rFont val="Arial"/>
        <color rgb="FF000000"/>
        <sz val="10.0"/>
      </rPr>
      <t xml:space="preserve">
Productividad: El impacto es sobre el Proceso de Emisión de Títulos
Costo: No existe costo de reposición. El costo está en relación a las actividades que debe realizar la organización para su recuperación y remediación
Sensibilidad:  Legal: Se deberán establecer los procedimientos Legales para evaluar la sanción y emisión o no del Título
Volumen: La modificación de gran cantidad de registros de Actas de Exámenes puede ser catastrófica
</t>
    </r>
    <r>
      <rPr>
        <rFont val="Arial"/>
        <b/>
        <color theme="1"/>
        <sz val="10.0"/>
      </rPr>
      <t xml:space="preserve">Según la amenaza: </t>
    </r>
    <r>
      <rPr>
        <rFont val="Arial"/>
        <color rgb="FF000000"/>
        <sz val="10.0"/>
      </rPr>
      <t xml:space="preserve">
El agente de amenaza es interno 
Acción: actúa sobre la integridad del Activo por efectos de su modificación 
</t>
    </r>
    <r>
      <rPr>
        <rFont val="Arial"/>
        <b/>
        <color theme="1"/>
        <sz val="10.0"/>
      </rPr>
      <t>Sobre la Organización:</t>
    </r>
    <r>
      <rPr>
        <rFont val="Arial"/>
        <color rgb="FF000000"/>
        <sz val="10.0"/>
      </rPr>
      <t xml:space="preserve">
Detección: puede no detectarse 
Respuesta: incluirá la recuperación del registro a su valor establecido y la remedición incluirá las acciones administrativas y legales previstas en caso de fraude
</t>
    </r>
  </si>
  <si>
    <t>Modificación deliberada del  registro de la Nota de un Alumno en la base de datos del SYSACAD por parte de Personal con acceso a la opción de registro de Actas de Exámenes en connivencia con el alumno.</t>
  </si>
  <si>
    <t>Acciones de las Personas</t>
  </si>
  <si>
    <t>Deliberadas</t>
  </si>
  <si>
    <t>Fraude</t>
  </si>
  <si>
    <t>Acta de Exámen</t>
  </si>
  <si>
    <t>Accidental</t>
  </si>
  <si>
    <t>Estado de las instalaciones donde opera el empledo. Estado anímico del empleado</t>
  </si>
  <si>
    <r>
      <rPr>
        <rFont val="Arial"/>
        <b/>
        <color theme="1"/>
        <sz val="10.0"/>
      </rPr>
      <t>Contacto</t>
    </r>
    <r>
      <rPr>
        <rFont val="Arial"/>
        <color rgb="FF000000"/>
        <sz val="10.0"/>
      </rPr>
      <t xml:space="preserve">: El acceso al sistema es periódico.  
</t>
    </r>
    <r>
      <rPr>
        <rFont val="Arial"/>
        <b/>
        <color theme="1"/>
        <sz val="10.0"/>
      </rPr>
      <t>Acción</t>
    </r>
    <r>
      <rPr>
        <rFont val="Arial"/>
        <color rgb="FF000000"/>
        <sz val="10.0"/>
      </rPr>
      <t xml:space="preserve">: Beneficio: No Existe. Nivel de Esfuerzo:  Bajo. Riesgo de Detección: Bajo. No existen sanciones administrativas previstas para este tipo de acciones. 
</t>
    </r>
    <r>
      <rPr>
        <rFont val="Arial"/>
        <b/>
        <color theme="1"/>
        <sz val="10.0"/>
      </rPr>
      <t>Capacidad de la amenaza:</t>
    </r>
    <r>
      <rPr>
        <rFont val="Arial"/>
        <color rgb="FF000000"/>
        <sz val="10.0"/>
      </rPr>
      <t xml:space="preserve"> Tiene recursos y habilidades suficientes para materializar la amenaza. 
</t>
    </r>
    <r>
      <rPr>
        <rFont val="Arial"/>
        <b/>
        <color theme="1"/>
        <sz val="10.0"/>
      </rPr>
      <t xml:space="preserve">Capacidad de Resistencia: </t>
    </r>
    <r>
      <rPr>
        <rFont val="Arial"/>
        <color rgb="FF000000"/>
        <sz val="10.0"/>
      </rPr>
      <t xml:space="preserve">no existen auditorías posteriores al registro de Actas de Exámenes. Solo se realizan para la emisión del título. No existe trazabilidad en los procesos de registro de datos del SYSACAD. </t>
    </r>
  </si>
  <si>
    <r>
      <rPr>
        <rFont val="Arial"/>
        <b/>
        <color theme="1"/>
        <sz val="10.0"/>
      </rPr>
      <t xml:space="preserve">Sobre el activo: </t>
    </r>
    <r>
      <rPr>
        <rFont val="Arial"/>
        <color rgb="FF000000"/>
        <sz val="10.0"/>
      </rPr>
      <t xml:space="preserve">
Productividad: El impacto es sobre el Proceso de Emisión de Títulos
Costo: No existe costo de reposición. El costo está en relación a las actividades que debe realizar la organización para su recuperación y remediación
Volumen: La modificación de gran cantidad de registros de Actas de Exámenes puede ser catastrófica
</t>
    </r>
    <r>
      <rPr>
        <rFont val="Arial"/>
        <b/>
        <color theme="1"/>
        <sz val="10.0"/>
      </rPr>
      <t xml:space="preserve">Según la amenaza: </t>
    </r>
    <r>
      <rPr>
        <rFont val="Arial"/>
        <color rgb="FF000000"/>
        <sz val="10.0"/>
      </rPr>
      <t xml:space="preserve">
El agente de amenaza es interno 
Acción: actúa sobre la integridad del Activo por efectos de su modificación 
</t>
    </r>
    <r>
      <rPr>
        <rFont val="Arial"/>
        <b/>
        <color theme="1"/>
        <sz val="10.0"/>
      </rPr>
      <t>Sobre la Organización:</t>
    </r>
    <r>
      <rPr>
        <rFont val="Arial"/>
        <color rgb="FF000000"/>
        <sz val="10.0"/>
      </rPr>
      <t xml:space="preserve">
Detección: puede no detectarse 
Respuesta: incluirá la recuperación del registro a su valor establecido
</t>
    </r>
  </si>
  <si>
    <t>Modificación accidental del registro de la Nota de un Alumno en la Base de Datos del SYSACAD por parte de Personal con acceso a la opción de registro de Actas de Exámenes</t>
  </si>
  <si>
    <t>Involuntarias</t>
  </si>
  <si>
    <t>Equivocación</t>
  </si>
  <si>
    <t>Físico</t>
  </si>
  <si>
    <t>Custodio de las Actas de Exámenes</t>
  </si>
  <si>
    <t>Pérdida del Acta de Exámen. Actúa sobre la disponibilidad del activo</t>
  </si>
  <si>
    <t xml:space="preserve">Falta de organización de la cátedra en el desarrollo de la mesa (Rol del Jefe de Cátedra y Presidente del Acta de Examen).
Falta de organización en Bedelía para el resguardo de las Actas de Exámenes (Rol del Jefe de Bedelía y Bedeles) </t>
  </si>
  <si>
    <r>
      <rPr>
        <rFont val="Arial"/>
        <b/>
        <color theme="1"/>
        <sz val="10.0"/>
      </rPr>
      <t>Contacto</t>
    </r>
    <r>
      <rPr>
        <rFont val="Arial"/>
        <color rgb="FF000000"/>
        <sz val="10.0"/>
      </rPr>
      <t xml:space="preserve">: El acceso al Acta de Exámen se produce a lo largo del desarrollo de la mesa (periódico en caso de docentes y personal de Bedelía. Accidental por parte de otros empleados de la institución). 
</t>
    </r>
    <r>
      <rPr>
        <rFont val="Arial"/>
        <b/>
        <color theme="1"/>
        <sz val="10.0"/>
      </rPr>
      <t xml:space="preserve">Acción:  </t>
    </r>
    <r>
      <rPr>
        <rFont val="Arial"/>
        <color rgb="FF000000"/>
        <sz val="10.0"/>
      </rPr>
      <t>Beneficio: No tiene</t>
    </r>
    <r>
      <rPr>
        <rFont val="Arial"/>
        <b/>
        <color theme="1"/>
        <sz val="10.0"/>
      </rPr>
      <t xml:space="preserve">. </t>
    </r>
    <r>
      <rPr>
        <rFont val="Arial"/>
        <color rgb="FF000000"/>
        <sz val="10.0"/>
      </rPr>
      <t xml:space="preserve">Nivel de Esfuerzo: Medio:  Riesgo de Detección: Bajo. No existen sanciones administrativas previstas para este tipo de acciones.
</t>
    </r>
    <r>
      <rPr>
        <rFont val="Arial"/>
        <b/>
        <color theme="1"/>
        <sz val="10.0"/>
      </rPr>
      <t>Capacidad de la Amenaza:</t>
    </r>
    <r>
      <rPr>
        <rFont val="Arial"/>
        <color rgb="FF000000"/>
        <sz val="10.0"/>
      </rPr>
      <t xml:space="preserve">  tiene los recursos y habilidades suficientes para materializar la amenaza.  
</t>
    </r>
    <r>
      <rPr>
        <rFont val="Arial"/>
        <b/>
        <color theme="1"/>
        <sz val="10.0"/>
      </rPr>
      <t xml:space="preserve">Capacidad de Resistencia: </t>
    </r>
    <r>
      <rPr>
        <rFont val="Arial"/>
        <color rgb="FF000000"/>
        <sz val="10.0"/>
      </rPr>
      <t>Media. Siempre se podrá identificar la falta de un Acta de Examen física. Durante el desarrollo de la mesa al momento del registro de notas . Finalizada la mesa de examen se puede detectar la falta a partir del control que realiza Bedelía en relación a la planilla de Entrega de Exámenes que funcionaría como trazabilidad del Acta de Examen. Su reconstrucción puede ser compleja ya que, en la mayoría de los casos se deberá acceder a los exámenes físicos o al registro realizado en las libretas de los alumnos que estuvieron presentes en la mesa</t>
    </r>
  </si>
  <si>
    <t>Pérdida accidental del Acta de Exámenes (en papel) por deficiencias en la organización atribuible al custodio de la misma en el momento de la pérdida.</t>
  </si>
  <si>
    <t>Fallas de los Procesos Internos</t>
  </si>
  <si>
    <t>Procesos de Control</t>
  </si>
  <si>
    <t>Roles y Responsabilidades</t>
  </si>
  <si>
    <t>Credenciales de acceso al SYSACAD</t>
  </si>
  <si>
    <t>Keyloggers</t>
  </si>
  <si>
    <t>Captura de usuarios y contraseñas en el logueo a una aplicación. Actúa sobre la confidencialidad del activo</t>
  </si>
  <si>
    <t xml:space="preserve">Falta de Controles en el acceso lógico
Parámetros de Seguridad
Prácticas de desarrollo de aplicaciones </t>
  </si>
  <si>
    <r>
      <rPr>
        <rFont val="Arial"/>
        <b/>
        <color theme="1"/>
        <sz val="10.0"/>
      </rPr>
      <t>Contacto</t>
    </r>
    <r>
      <rPr>
        <rFont val="Arial"/>
        <color rgb="FF000000"/>
        <sz val="10.0"/>
      </rPr>
      <t xml:space="preserve">: Intencional. 
</t>
    </r>
    <r>
      <rPr>
        <rFont val="Arial"/>
        <b/>
        <color theme="1"/>
        <sz val="10.0"/>
      </rPr>
      <t xml:space="preserve">Acción: </t>
    </r>
    <r>
      <rPr>
        <rFont val="Arial"/>
        <color rgb="FF000000"/>
        <sz val="10.0"/>
      </rPr>
      <t xml:space="preserve"> Beneficio: Obtención de usuarios y contraseñas para escalar a otros objetivos. Nivel de Esfuerzo: Medio. Riesgo de Detección: Ninguno
</t>
    </r>
    <r>
      <rPr>
        <rFont val="Arial"/>
        <b/>
        <color theme="1"/>
        <sz val="10.0"/>
      </rPr>
      <t xml:space="preserve">Capacidad de la Amenaza: </t>
    </r>
    <r>
      <rPr>
        <rFont val="Arial"/>
        <color rgb="FF000000"/>
        <sz val="10.0"/>
      </rPr>
      <t xml:space="preserve">tiene los recursos y habilidades suficientes para materializar la amenaza.
</t>
    </r>
    <r>
      <rPr>
        <rFont val="Arial"/>
        <b/>
        <color theme="1"/>
        <sz val="10.0"/>
      </rPr>
      <t>Capacidad de Resistencia</t>
    </r>
    <r>
      <rPr>
        <rFont val="Arial"/>
        <color rgb="FF000000"/>
        <sz val="10.0"/>
      </rPr>
      <t>: Baja en función de la inexistencia de controles frente a las vulnerabilidades descriptas</t>
    </r>
  </si>
  <si>
    <t>Captura de usuarios y contraseñas de acceso al SYSACAD a partir de la instalación de keyloggers en las computadoras que se utilizan para el acceso</t>
  </si>
  <si>
    <t>Fallas de los SIstemas y Tecnologías</t>
  </si>
  <si>
    <t>Software</t>
  </si>
  <si>
    <t>Prácticas de Codificación</t>
  </si>
  <si>
    <t>Hacker</t>
  </si>
  <si>
    <t>Acceso a los activos de software partir de escaneo de vulnerabilidades</t>
  </si>
  <si>
    <t>Parámetros de Seguridad</t>
  </si>
  <si>
    <r>
      <rPr>
        <rFont val="Arial"/>
        <b/>
        <color theme="1"/>
        <sz val="10.0"/>
      </rPr>
      <t>Contacto</t>
    </r>
    <r>
      <rPr>
        <rFont val="Arial"/>
        <color rgb="FF000000"/>
        <sz val="10.0"/>
      </rPr>
      <t xml:space="preserve">: Intencional. 
</t>
    </r>
    <r>
      <rPr>
        <rFont val="Arial"/>
        <b/>
        <color theme="1"/>
        <sz val="10.0"/>
      </rPr>
      <t xml:space="preserve">Acción: </t>
    </r>
    <r>
      <rPr>
        <rFont val="Arial"/>
        <color rgb="FF000000"/>
        <sz val="10.0"/>
      </rPr>
      <t xml:space="preserve"> Beneficio: Obtención de acceso para escalar a otros objetivos.  Nivel de Esfuerzo: Medio. Riesgo de Detección: Ninguno
</t>
    </r>
    <r>
      <rPr>
        <rFont val="Arial"/>
        <b/>
        <color theme="1"/>
        <sz val="10.0"/>
      </rPr>
      <t xml:space="preserve">Capacidad de la Amenaza: </t>
    </r>
    <r>
      <rPr>
        <rFont val="Arial"/>
        <color rgb="FF000000"/>
        <sz val="10.0"/>
      </rPr>
      <t xml:space="preserve">puede requerir de recursos tecnológicos específicos para el escaneo de puertos
</t>
    </r>
    <r>
      <rPr>
        <rFont val="Arial"/>
        <b/>
        <color theme="1"/>
        <sz val="10.0"/>
      </rPr>
      <t>Capacidad de Resistencia</t>
    </r>
    <r>
      <rPr>
        <rFont val="Arial"/>
        <color rgb="FF000000"/>
        <sz val="10.0"/>
      </rPr>
      <t>: Baja en función de la inexistencia de controles frente a las vulnerabilidades descriptas</t>
    </r>
  </si>
  <si>
    <t>Obtención de acceso a los activos de software a partir del escaneo de puertos por deficiencias en los parámetros de seguridad</t>
  </si>
  <si>
    <t>Desastres Naturales: inundación causada por tormentas</t>
  </si>
  <si>
    <t>Destrucción de los exámenes físicos</t>
  </si>
  <si>
    <t>Estado de las instalaciones 
Inexistencia de controles preventivos y de planes de contingencia en el momento de tormentas</t>
  </si>
  <si>
    <r>
      <rPr>
        <rFont val="Arial"/>
        <b/>
        <color theme="1"/>
        <sz val="10.0"/>
      </rPr>
      <t>Contacto</t>
    </r>
    <r>
      <rPr>
        <rFont val="Arial"/>
        <color rgb="FF000000"/>
        <sz val="10.0"/>
      </rPr>
      <t xml:space="preserve">: Aleatorio
</t>
    </r>
    <r>
      <rPr>
        <rFont val="Arial"/>
        <b/>
        <color theme="1"/>
        <sz val="10.0"/>
      </rPr>
      <t>Accion</t>
    </r>
    <r>
      <rPr>
        <rFont val="Arial"/>
        <color rgb="FF000000"/>
        <sz val="10.0"/>
      </rPr>
      <t xml:space="preserve">: Nivel de Esfuerzo: Medio
</t>
    </r>
    <r>
      <rPr>
        <rFont val="Arial"/>
        <b/>
        <color theme="1"/>
        <sz val="10.0"/>
      </rPr>
      <t>Capacidad de la Amenaza:</t>
    </r>
    <r>
      <rPr>
        <rFont val="Arial"/>
        <color rgb="FF000000"/>
        <sz val="10.0"/>
      </rPr>
      <t xml:space="preserve"> Dependiente de la magnitud de la tormenta
</t>
    </r>
    <r>
      <rPr>
        <rFont val="Arial"/>
        <b/>
        <color theme="1"/>
        <sz val="10.0"/>
      </rPr>
      <t>Capacidad de Resistencia:</t>
    </r>
    <r>
      <rPr>
        <rFont val="Arial"/>
        <color rgb="FF000000"/>
        <sz val="10.0"/>
      </rPr>
      <t xml:space="preserve"> Baja en función de la inexistencia de controles frente a las vulnerabilidades descriptas</t>
    </r>
  </si>
  <si>
    <r>
      <rPr>
        <rFont val="Arial"/>
        <b/>
        <color theme="1"/>
        <sz val="10.0"/>
      </rPr>
      <t xml:space="preserve">Sobre el activo: </t>
    </r>
    <r>
      <rPr>
        <rFont val="Arial"/>
        <color rgb="FF000000"/>
        <sz val="10.0"/>
      </rPr>
      <t xml:space="preserve">
Productividad: Tiene impacto sobre el Proceso de Revisión de Exámenes
Costo: El costo no tiene una evaluación directa. El activo no puede recuperarse
Sensibilidad:  Legal: Pueden existir consecuencias legales ante la imposibilidad de realizar los procesos de Revisión de Exámenes o de Auditorías de CONEAU
Reputación: La reputación de la Facultad puede verse afectada
Volumen: La destrucción de gran cantidad de Exámenes Físicos puede puede ser catastrófica
</t>
    </r>
    <r>
      <rPr>
        <rFont val="Arial"/>
        <b/>
        <color theme="1"/>
        <sz val="10.0"/>
      </rPr>
      <t xml:space="preserve">Según la amenaza: </t>
    </r>
    <r>
      <rPr>
        <rFont val="Arial"/>
        <color rgb="FF000000"/>
        <sz val="10.0"/>
      </rPr>
      <t xml:space="preserve">
El agente de amenaza está fuera de las posibilidades de control 
Acción: actúa sobre la integridad del Activo por efectos de su destrución 
</t>
    </r>
    <r>
      <rPr>
        <rFont val="Arial"/>
        <b/>
        <color theme="1"/>
        <sz val="10.0"/>
      </rPr>
      <t>Sobre la Organización:</t>
    </r>
    <r>
      <rPr>
        <rFont val="Arial"/>
        <color rgb="FF000000"/>
        <sz val="10.0"/>
      </rPr>
      <t xml:space="preserve">
Detección: la detección es inmediata 
Respuesta: imposibilidad de reconstrucción ni de remediación</t>
    </r>
  </si>
  <si>
    <t>Destrucción de las cajas con sobres de Exámenes Físicos existentes en el Departamento de Carrera a causa de inundaciones provocadas por tormentas.</t>
  </si>
  <si>
    <t>Eventos Externos</t>
  </si>
  <si>
    <t>Desastres Naturales</t>
  </si>
  <si>
    <t>Inundaciones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</si>
</sst>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7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/>
      <right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4" fillId="2" fontId="1" numFmtId="0" xfId="0" applyAlignment="1" applyBorder="1" applyFill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2" numFmtId="3" xfId="0" applyAlignment="1" applyBorder="1" applyFont="1" applyNumberFormat="1">
      <alignment horizontal="right" shrinkToFit="0" vertical="center" wrapText="1"/>
    </xf>
    <xf borderId="7" fillId="2" fontId="2" numFmtId="3" xfId="0" applyAlignment="1" applyBorder="1" applyFont="1" applyNumberFormat="1">
      <alignment horizontal="right" shrinkToFit="0" vertical="center" wrapText="1"/>
    </xf>
    <xf borderId="8" fillId="0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2" fillId="0" fontId="2" numFmtId="3" xfId="0" applyAlignment="1" applyBorder="1" applyFont="1" applyNumberFormat="1">
      <alignment horizontal="right" shrinkToFit="0" vertical="center" wrapText="1"/>
    </xf>
    <xf borderId="8" fillId="0" fontId="2" numFmtId="3" xfId="0" applyAlignment="1" applyBorder="1" applyFont="1" applyNumberFormat="1">
      <alignment horizontal="right" shrinkToFit="0" vertical="center" wrapText="1"/>
    </xf>
    <xf borderId="13" fillId="2" fontId="2" numFmtId="3" xfId="0" applyAlignment="1" applyBorder="1" applyFont="1" applyNumberFormat="1">
      <alignment horizontal="right" shrinkToFit="0" vertical="center" wrapText="1"/>
    </xf>
    <xf borderId="14" fillId="2" fontId="2" numFmtId="3" xfId="0" applyAlignment="1" applyBorder="1" applyFont="1" applyNumberFormat="1">
      <alignment horizontal="right" shrinkToFit="0" vertical="center" wrapText="1"/>
    </xf>
    <xf borderId="15" fillId="0" fontId="2" numFmtId="0" xfId="0" applyAlignment="1" applyBorder="1" applyFont="1">
      <alignment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2" numFmtId="0" xfId="0" applyAlignment="1" applyBorder="1" applyFont="1">
      <alignment shrinkToFit="0" vertical="center" wrapText="1"/>
    </xf>
    <xf borderId="17" fillId="0" fontId="2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2" numFmtId="0" xfId="0" applyAlignment="1" applyBorder="1" applyFont="1">
      <alignment shrinkToFit="0" vertical="center" wrapText="1"/>
    </xf>
    <xf borderId="23" fillId="0" fontId="2" numFmtId="3" xfId="0" applyAlignment="1" applyBorder="1" applyFont="1" applyNumberFormat="1">
      <alignment horizontal="right" shrinkToFit="0" vertical="center" wrapText="1"/>
    </xf>
    <xf borderId="24" fillId="2" fontId="2" numFmtId="3" xfId="0" applyAlignment="1" applyBorder="1" applyFont="1" applyNumberFormat="1">
      <alignment horizontal="right" shrinkToFit="0" vertical="center" wrapText="1"/>
    </xf>
    <xf borderId="25" fillId="0" fontId="2" numFmtId="0" xfId="0" applyAlignment="1" applyBorder="1" applyFont="1">
      <alignment shrinkToFit="0" vertical="center" wrapText="1"/>
    </xf>
    <xf borderId="26" fillId="2" fontId="2" numFmtId="3" xfId="0" applyAlignment="1" applyBorder="1" applyFont="1" applyNumberFormat="1">
      <alignment horizontal="right" shrinkToFit="0" vertical="center" wrapText="1"/>
    </xf>
    <xf borderId="27" fillId="0" fontId="3" numFmtId="0" xfId="0" applyBorder="1" applyFont="1"/>
    <xf borderId="3" fillId="0" fontId="3" numFmtId="0" xfId="0" applyBorder="1" applyFont="1"/>
    <xf borderId="28" fillId="0" fontId="2" numFmtId="0" xfId="0" applyAlignment="1" applyBorder="1" applyFont="1">
      <alignment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2" numFmtId="0" xfId="0" applyAlignment="1" applyBorder="1" applyFont="1">
      <alignment shrinkToFit="0" vertical="center" wrapText="1"/>
    </xf>
    <xf borderId="33" fillId="0" fontId="3" numFmtId="0" xfId="0" applyBorder="1" applyFont="1"/>
    <xf borderId="18" fillId="3" fontId="4" numFmtId="0" xfId="0" applyAlignment="1" applyBorder="1" applyFill="1" applyFont="1">
      <alignment shrinkToFit="0" vertical="center" wrapText="1"/>
    </xf>
    <xf borderId="34" fillId="3" fontId="4" numFmtId="0" xfId="0" applyAlignment="1" applyBorder="1" applyFont="1">
      <alignment shrinkToFit="0" vertical="center" wrapText="1"/>
    </xf>
    <xf borderId="35" fillId="0" fontId="2" numFmtId="0" xfId="0" applyBorder="1" applyFont="1"/>
    <xf borderId="36" fillId="0" fontId="2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right" shrinkToFit="0" vertical="center" wrapText="1"/>
    </xf>
    <xf borderId="8" fillId="0" fontId="2" numFmtId="0" xfId="0" applyAlignment="1" applyBorder="1" applyFont="1">
      <alignment horizontal="right" shrinkToFit="0" vertical="center" wrapText="1"/>
    </xf>
    <xf borderId="15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37" fillId="0" fontId="3" numFmtId="0" xfId="0" applyBorder="1" applyFont="1"/>
    <xf borderId="32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shrinkToFit="0" wrapText="1"/>
    </xf>
    <xf borderId="18" fillId="0" fontId="2" numFmtId="0" xfId="0" applyBorder="1" applyFont="1"/>
    <xf borderId="22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23" fillId="0" fontId="2" numFmtId="0" xfId="0" applyAlignment="1" applyBorder="1" applyFont="1">
      <alignment shrinkToFit="0" wrapText="1"/>
    </xf>
    <xf borderId="38" fillId="2" fontId="2" numFmtId="3" xfId="0" applyAlignment="1" applyBorder="1" applyFont="1" applyNumberFormat="1">
      <alignment horizontal="right" shrinkToFit="0" vertical="center" wrapText="1"/>
    </xf>
    <xf borderId="39" fillId="0" fontId="2" numFmtId="0" xfId="0" applyAlignment="1" applyBorder="1" applyFont="1">
      <alignment shrinkToFit="0" wrapText="1"/>
    </xf>
    <xf borderId="23" fillId="0" fontId="2" numFmtId="0" xfId="0" applyAlignment="1" applyBorder="1" applyFont="1">
      <alignment shrinkToFit="0" vertical="center" wrapText="1"/>
    </xf>
    <xf borderId="2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40" fillId="0" fontId="1" numFmtId="0" xfId="0" applyAlignment="1" applyBorder="1" applyFont="1">
      <alignment shrinkToFit="0" wrapText="1"/>
    </xf>
    <xf borderId="4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borderId="42" fillId="2" fontId="1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0" fillId="0" fontId="2" numFmtId="0" xfId="0" applyAlignment="1" applyBorder="1" applyFont="1">
      <alignment shrinkToFit="0" wrapText="1"/>
    </xf>
    <xf borderId="41" fillId="0" fontId="2" numFmtId="0" xfId="0" applyAlignment="1" applyBorder="1" applyFont="1">
      <alignment shrinkToFit="0" wrapText="1"/>
    </xf>
    <xf borderId="41" fillId="0" fontId="2" numFmtId="0" xfId="0" applyBorder="1" applyFont="1"/>
    <xf borderId="41" fillId="0" fontId="1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45" fillId="3" fontId="5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46" fillId="2" fontId="1" numFmtId="0" xfId="0" applyAlignment="1" applyBorder="1" applyFont="1">
      <alignment horizontal="center" shrinkToFit="0" wrapText="1"/>
    </xf>
    <xf borderId="46" fillId="4" fontId="1" numFmtId="0" xfId="0" applyAlignment="1" applyBorder="1" applyFill="1" applyFont="1">
      <alignment horizontal="center" shrinkToFit="0" wrapText="1"/>
    </xf>
    <xf borderId="0" fillId="0" fontId="6" numFmtId="0" xfId="0" applyFont="1"/>
    <xf borderId="0" fillId="0" fontId="1" numFmtId="0" xfId="0" applyAlignment="1" applyFont="1">
      <alignment horizontal="center" shrinkToFit="0" vertical="center" wrapText="1"/>
    </xf>
    <xf borderId="45" fillId="3" fontId="5" numFmtId="0" xfId="0" applyAlignment="1" applyBorder="1" applyFont="1">
      <alignment horizontal="center" shrinkToFit="0" vertical="center" wrapText="1"/>
    </xf>
    <xf borderId="47" fillId="0" fontId="1" numFmtId="0" xfId="0" applyAlignment="1" applyBorder="1" applyFont="1">
      <alignment horizontal="center" shrinkToFit="0" vertical="center" wrapText="1"/>
    </xf>
    <xf borderId="48" fillId="2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0" fillId="0" fontId="1" numFmtId="0" xfId="0" applyAlignment="1" applyFont="1">
      <alignment shrinkToFit="0" vertical="center" wrapText="1"/>
    </xf>
    <xf borderId="49" fillId="0" fontId="3" numFmtId="0" xfId="0" applyBorder="1" applyFont="1"/>
    <xf borderId="50" fillId="0" fontId="1" numFmtId="0" xfId="0" applyAlignment="1" applyBorder="1" applyFont="1">
      <alignment horizontal="center" shrinkToFit="0" vertical="center" wrapText="1"/>
    </xf>
    <xf borderId="51" fillId="0" fontId="1" numFmtId="0" xfId="0" applyAlignment="1" applyBorder="1" applyFont="1">
      <alignment horizontal="center" shrinkToFit="0" vertical="center" wrapText="1"/>
    </xf>
    <xf borderId="52" fillId="0" fontId="1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shrinkToFit="0" vertical="center" wrapText="1"/>
    </xf>
    <xf borderId="41" fillId="0" fontId="2" numFmtId="0" xfId="0" applyAlignment="1" applyBorder="1" applyFont="1">
      <alignment readingOrder="0" shrinkToFit="0" vertical="center" wrapText="1"/>
    </xf>
    <xf borderId="53" fillId="2" fontId="2" numFmtId="0" xfId="0" applyAlignment="1" applyBorder="1" applyFont="1">
      <alignment shrinkToFit="0" vertical="center" wrapText="1"/>
    </xf>
    <xf borderId="44" fillId="0" fontId="2" numFmtId="0" xfId="0" applyAlignment="1" applyBorder="1" applyFont="1">
      <alignment shrinkToFit="0" vertical="center" wrapText="1"/>
    </xf>
    <xf borderId="54" fillId="0" fontId="2" numFmtId="0" xfId="0" applyAlignment="1" applyBorder="1" applyFont="1">
      <alignment shrinkToFit="0" vertical="center" wrapText="1"/>
    </xf>
    <xf borderId="55" fillId="2" fontId="2" numFmtId="0" xfId="0" applyAlignment="1" applyBorder="1" applyFont="1">
      <alignment shrinkToFit="0" vertical="center" wrapText="1"/>
    </xf>
    <xf borderId="56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5"/>
    <col customWidth="1" min="2" max="2" width="50.13"/>
    <col customWidth="1" min="3" max="3" width="67.88"/>
    <col customWidth="1" min="4" max="4" width="28.0"/>
    <col customWidth="1" min="5" max="5" width="42.0"/>
    <col customWidth="1" min="6" max="6" width="18.0"/>
    <col customWidth="1" min="7" max="11" width="14.5"/>
    <col customWidth="1" min="12" max="12" width="66.13"/>
    <col customWidth="1" min="13" max="26" width="14.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3" t="s">
        <v>11</v>
      </c>
    </row>
    <row r="2" ht="39.75" customHeight="1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8">
        <v>0.0</v>
      </c>
      <c r="G2" s="8">
        <v>5.0</v>
      </c>
      <c r="H2" s="8">
        <v>5.0</v>
      </c>
      <c r="I2" s="8">
        <v>5.0</v>
      </c>
      <c r="J2" s="8">
        <v>5.0</v>
      </c>
      <c r="K2" s="9">
        <v>5.0</v>
      </c>
      <c r="L2" s="7" t="s">
        <v>17</v>
      </c>
    </row>
    <row r="3" ht="15.75" customHeight="1">
      <c r="A3" s="6" t="s">
        <v>18</v>
      </c>
      <c r="B3" s="7" t="s">
        <v>19</v>
      </c>
      <c r="C3" s="7" t="s">
        <v>20</v>
      </c>
      <c r="D3" s="7" t="s">
        <v>21</v>
      </c>
      <c r="E3" s="7"/>
      <c r="F3" s="8"/>
      <c r="G3" s="8"/>
      <c r="H3" s="8"/>
      <c r="I3" s="8"/>
      <c r="J3" s="8"/>
      <c r="K3" s="9"/>
      <c r="L3" s="7" t="s">
        <v>22</v>
      </c>
    </row>
    <row r="4" ht="15.75" customHeight="1">
      <c r="A4" s="6" t="s">
        <v>23</v>
      </c>
      <c r="B4" s="7" t="s">
        <v>24</v>
      </c>
      <c r="C4" s="7" t="s">
        <v>20</v>
      </c>
      <c r="D4" s="7" t="s">
        <v>25</v>
      </c>
      <c r="E4" s="7"/>
      <c r="F4" s="8"/>
      <c r="G4" s="8"/>
      <c r="H4" s="8"/>
      <c r="I4" s="8"/>
      <c r="J4" s="8"/>
      <c r="K4" s="9"/>
      <c r="L4" s="7" t="s">
        <v>26</v>
      </c>
    </row>
    <row r="5" ht="15.75" customHeight="1">
      <c r="A5" s="6" t="s">
        <v>27</v>
      </c>
      <c r="B5" s="7" t="s">
        <v>28</v>
      </c>
      <c r="C5" s="7" t="s">
        <v>29</v>
      </c>
      <c r="D5" s="7" t="s">
        <v>30</v>
      </c>
      <c r="E5" s="7"/>
      <c r="F5" s="8"/>
      <c r="G5" s="8"/>
      <c r="H5" s="8"/>
      <c r="I5" s="8"/>
      <c r="J5" s="8"/>
      <c r="K5" s="9"/>
      <c r="L5" s="7" t="s">
        <v>31</v>
      </c>
    </row>
    <row r="6" ht="15.75" customHeight="1">
      <c r="A6" s="6" t="s">
        <v>32</v>
      </c>
      <c r="B6" s="7" t="s">
        <v>33</v>
      </c>
      <c r="C6" s="7" t="s">
        <v>20</v>
      </c>
      <c r="D6" s="7" t="s">
        <v>34</v>
      </c>
      <c r="E6" s="7"/>
      <c r="F6" s="8"/>
      <c r="G6" s="8"/>
      <c r="H6" s="8"/>
      <c r="I6" s="8"/>
      <c r="J6" s="8"/>
      <c r="K6" s="9"/>
      <c r="L6" s="7" t="s">
        <v>35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1.0"/>
    <col customWidth="1" min="2" max="2" width="38.13"/>
    <col customWidth="1" min="3" max="3" width="60.0"/>
    <col customWidth="1" min="4" max="4" width="26.38"/>
    <col customWidth="1" min="5" max="5" width="50.5"/>
    <col customWidth="1" min="6" max="6" width="40.5"/>
    <col customWidth="1" min="7" max="7" width="41.63"/>
    <col customWidth="1" min="8" max="8" width="26.0"/>
    <col customWidth="1" min="9" max="9" width="18.5"/>
    <col customWidth="1" min="10" max="10" width="17.5"/>
    <col customWidth="1" min="11" max="11" width="14.5"/>
    <col customWidth="1" min="12" max="12" width="9.63"/>
    <col customWidth="1" min="13" max="13" width="2.63"/>
    <col customWidth="1" min="14" max="14" width="56.13"/>
    <col customWidth="1" min="15" max="26" width="14.5"/>
  </cols>
  <sheetData>
    <row r="1" ht="15.75" customHeight="1">
      <c r="A1" s="1" t="s">
        <v>0</v>
      </c>
      <c r="B1" s="2" t="s">
        <v>36</v>
      </c>
      <c r="C1" s="3" t="s">
        <v>2</v>
      </c>
      <c r="D1" s="3" t="s">
        <v>3</v>
      </c>
      <c r="E1" s="3" t="s">
        <v>37</v>
      </c>
      <c r="F1" s="3" t="s">
        <v>38</v>
      </c>
      <c r="G1" s="3" t="s">
        <v>39</v>
      </c>
      <c r="H1" s="3" t="s">
        <v>40</v>
      </c>
      <c r="I1" s="4" t="s">
        <v>5</v>
      </c>
      <c r="J1" s="4" t="s">
        <v>6</v>
      </c>
      <c r="K1" s="10" t="s">
        <v>7</v>
      </c>
      <c r="L1" s="11" t="s">
        <v>10</v>
      </c>
      <c r="M1" s="12"/>
      <c r="N1" s="1" t="s">
        <v>11</v>
      </c>
    </row>
    <row r="2" ht="25.5" customHeight="1">
      <c r="A2" s="13" t="s">
        <v>41</v>
      </c>
      <c r="B2" s="14" t="s">
        <v>42</v>
      </c>
      <c r="C2" s="14" t="s">
        <v>43</v>
      </c>
      <c r="D2" s="14" t="s">
        <v>44</v>
      </c>
      <c r="E2" s="15" t="s">
        <v>45</v>
      </c>
      <c r="F2" s="15" t="s">
        <v>46</v>
      </c>
      <c r="G2" s="14" t="s">
        <v>47</v>
      </c>
      <c r="H2" s="14" t="s">
        <v>46</v>
      </c>
      <c r="I2" s="16">
        <v>1.0</v>
      </c>
      <c r="J2" s="16">
        <v>1.0</v>
      </c>
      <c r="K2" s="17">
        <v>1.0</v>
      </c>
      <c r="L2" s="18">
        <f>SUM(I2:K3)</f>
        <v>3</v>
      </c>
      <c r="M2" s="19" t="str">
        <f>IF(COUNTIF(I2:K2,"3")&gt;0,"*","")</f>
        <v/>
      </c>
      <c r="N2" s="20" t="s">
        <v>48</v>
      </c>
    </row>
    <row r="3" ht="52.5" customHeight="1">
      <c r="A3" s="21"/>
      <c r="B3" s="22"/>
      <c r="C3" s="22"/>
      <c r="D3" s="22"/>
      <c r="E3" s="23" t="s">
        <v>49</v>
      </c>
      <c r="F3" s="23" t="s">
        <v>46</v>
      </c>
      <c r="G3" s="24" t="s">
        <v>50</v>
      </c>
      <c r="H3" s="22"/>
      <c r="I3" s="22"/>
      <c r="J3" s="22"/>
      <c r="K3" s="25"/>
      <c r="L3" s="26"/>
      <c r="M3" s="27"/>
      <c r="N3" s="28" t="s">
        <v>51</v>
      </c>
    </row>
    <row r="4" ht="15.75" customHeight="1">
      <c r="A4" s="6" t="s">
        <v>52</v>
      </c>
      <c r="B4" s="7" t="s">
        <v>53</v>
      </c>
      <c r="C4" s="7" t="s">
        <v>54</v>
      </c>
      <c r="D4" s="7" t="s">
        <v>15</v>
      </c>
      <c r="E4" s="7" t="s">
        <v>55</v>
      </c>
      <c r="F4" s="7" t="s">
        <v>56</v>
      </c>
      <c r="G4" s="7" t="s">
        <v>57</v>
      </c>
      <c r="H4" s="7" t="s">
        <v>58</v>
      </c>
      <c r="I4" s="8">
        <v>1.0</v>
      </c>
      <c r="J4" s="8">
        <v>1.0</v>
      </c>
      <c r="K4" s="29">
        <v>1.0</v>
      </c>
      <c r="L4" s="30">
        <f t="shared" ref="L4:L6" si="1">SUM(I4:K4)</f>
        <v>3</v>
      </c>
      <c r="M4" s="9" t="str">
        <f>IF(COUNTIF(I3:K3,"3")&gt;0,"*","")</f>
        <v/>
      </c>
      <c r="N4" s="31" t="s">
        <v>59</v>
      </c>
    </row>
    <row r="5" ht="45.0" customHeight="1">
      <c r="A5" s="6" t="s">
        <v>60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56</v>
      </c>
      <c r="G5" s="7" t="s">
        <v>65</v>
      </c>
      <c r="H5" s="7" t="s">
        <v>63</v>
      </c>
      <c r="I5" s="8">
        <v>2.0</v>
      </c>
      <c r="J5" s="8">
        <v>1.0</v>
      </c>
      <c r="K5" s="29">
        <v>3.0</v>
      </c>
      <c r="L5" s="30">
        <f t="shared" si="1"/>
        <v>6</v>
      </c>
      <c r="M5" s="9" t="str">
        <f t="shared" ref="M5:M6" si="2">IF(COUNTIF(I5:K5,"3")&gt;0,"*","")</f>
        <v>*</v>
      </c>
      <c r="N5" s="31" t="s">
        <v>66</v>
      </c>
    </row>
    <row r="6" ht="15.75" customHeight="1">
      <c r="A6" s="13" t="s">
        <v>67</v>
      </c>
      <c r="B6" s="14" t="s">
        <v>68</v>
      </c>
      <c r="C6" s="14" t="s">
        <v>69</v>
      </c>
      <c r="D6" s="14" t="s">
        <v>15</v>
      </c>
      <c r="E6" s="15" t="s">
        <v>70</v>
      </c>
      <c r="F6" s="15" t="s">
        <v>71</v>
      </c>
      <c r="G6" s="15" t="s">
        <v>72</v>
      </c>
      <c r="H6" s="14" t="s">
        <v>58</v>
      </c>
      <c r="I6" s="16">
        <v>2.0</v>
      </c>
      <c r="J6" s="16">
        <v>3.0</v>
      </c>
      <c r="K6" s="17">
        <v>3.0</v>
      </c>
      <c r="L6" s="18">
        <f t="shared" si="1"/>
        <v>8</v>
      </c>
      <c r="M6" s="32" t="str">
        <f t="shared" si="2"/>
        <v>*</v>
      </c>
      <c r="N6" s="20" t="s">
        <v>73</v>
      </c>
    </row>
    <row r="7" ht="15.75" customHeight="1">
      <c r="A7" s="33"/>
      <c r="B7" s="34"/>
      <c r="C7" s="34"/>
      <c r="D7" s="34"/>
      <c r="E7" s="35" t="s">
        <v>74</v>
      </c>
      <c r="F7" s="35" t="s">
        <v>75</v>
      </c>
      <c r="G7" s="35" t="s">
        <v>76</v>
      </c>
      <c r="H7" s="34"/>
      <c r="I7" s="34"/>
      <c r="J7" s="34"/>
      <c r="K7" s="36"/>
      <c r="L7" s="37"/>
      <c r="M7" s="38"/>
      <c r="N7" s="39" t="s">
        <v>77</v>
      </c>
    </row>
    <row r="8" ht="15.75" customHeight="1">
      <c r="A8" s="33"/>
      <c r="B8" s="34"/>
      <c r="C8" s="34"/>
      <c r="D8" s="34"/>
      <c r="E8" s="35" t="s">
        <v>55</v>
      </c>
      <c r="F8" s="35" t="s">
        <v>56</v>
      </c>
      <c r="G8" s="35" t="s">
        <v>78</v>
      </c>
      <c r="H8" s="34"/>
      <c r="I8" s="34"/>
      <c r="J8" s="34"/>
      <c r="K8" s="36"/>
      <c r="L8" s="37"/>
      <c r="M8" s="38"/>
      <c r="N8" s="39" t="s">
        <v>59</v>
      </c>
    </row>
    <row r="9" ht="15.75" customHeight="1">
      <c r="A9" s="21"/>
      <c r="B9" s="22"/>
      <c r="C9" s="22"/>
      <c r="D9" s="22"/>
      <c r="E9" s="23" t="s">
        <v>79</v>
      </c>
      <c r="F9" s="23" t="s">
        <v>80</v>
      </c>
      <c r="G9" s="23" t="s">
        <v>81</v>
      </c>
      <c r="H9" s="22"/>
      <c r="I9" s="22"/>
      <c r="J9" s="22"/>
      <c r="K9" s="25"/>
      <c r="L9" s="26"/>
      <c r="M9" s="40"/>
      <c r="N9" s="28" t="s">
        <v>82</v>
      </c>
    </row>
    <row r="10" ht="30.75" customHeight="1">
      <c r="A10" s="6" t="s">
        <v>83</v>
      </c>
      <c r="B10" s="7" t="s">
        <v>84</v>
      </c>
      <c r="C10" s="7" t="s">
        <v>85</v>
      </c>
      <c r="D10" s="7" t="s">
        <v>86</v>
      </c>
      <c r="E10" s="7" t="s">
        <v>87</v>
      </c>
      <c r="F10" s="7" t="s">
        <v>88</v>
      </c>
      <c r="G10" s="7" t="s">
        <v>89</v>
      </c>
      <c r="H10" s="7" t="s">
        <v>75</v>
      </c>
      <c r="I10" s="8">
        <v>1.0</v>
      </c>
      <c r="J10" s="8">
        <v>1.0</v>
      </c>
      <c r="K10" s="29">
        <v>1.0</v>
      </c>
      <c r="L10" s="30">
        <f t="shared" ref="L10:L12" si="3">SUM(I10:K10)</f>
        <v>3</v>
      </c>
      <c r="M10" s="9" t="str">
        <f t="shared" ref="M10:M12" si="4">IF(COUNTIF(I10:K10,"3")&gt;0,"*","")</f>
        <v/>
      </c>
      <c r="N10" s="31" t="s">
        <v>77</v>
      </c>
    </row>
    <row r="11" ht="15.75" customHeight="1">
      <c r="A11" s="6" t="s">
        <v>90</v>
      </c>
      <c r="B11" s="7" t="s">
        <v>91</v>
      </c>
      <c r="C11" s="7" t="s">
        <v>92</v>
      </c>
      <c r="D11" s="7" t="s">
        <v>15</v>
      </c>
      <c r="E11" s="7" t="s">
        <v>87</v>
      </c>
      <c r="F11" s="7" t="s">
        <v>88</v>
      </c>
      <c r="G11" s="7" t="s">
        <v>93</v>
      </c>
      <c r="H11" s="7" t="s">
        <v>58</v>
      </c>
      <c r="I11" s="8">
        <v>1.0</v>
      </c>
      <c r="J11" s="8">
        <v>2.0</v>
      </c>
      <c r="K11" s="29">
        <v>3.0</v>
      </c>
      <c r="L11" s="30">
        <f t="shared" si="3"/>
        <v>6</v>
      </c>
      <c r="M11" s="9" t="str">
        <f t="shared" si="4"/>
        <v>*</v>
      </c>
      <c r="N11" s="31" t="s">
        <v>77</v>
      </c>
    </row>
    <row r="12" ht="15.75" customHeight="1">
      <c r="A12" s="13" t="s">
        <v>94</v>
      </c>
      <c r="B12" s="14" t="s">
        <v>95</v>
      </c>
      <c r="C12" s="14" t="s">
        <v>96</v>
      </c>
      <c r="D12" s="14" t="s">
        <v>63</v>
      </c>
      <c r="E12" s="15" t="s">
        <v>97</v>
      </c>
      <c r="F12" s="15" t="s">
        <v>98</v>
      </c>
      <c r="G12" s="15" t="s">
        <v>99</v>
      </c>
      <c r="H12" s="15" t="s">
        <v>63</v>
      </c>
      <c r="I12" s="16">
        <v>2.0</v>
      </c>
      <c r="J12" s="16">
        <v>3.0</v>
      </c>
      <c r="K12" s="17">
        <v>2.0</v>
      </c>
      <c r="L12" s="18">
        <f t="shared" si="3"/>
        <v>7</v>
      </c>
      <c r="M12" s="19" t="str">
        <f t="shared" si="4"/>
        <v>*</v>
      </c>
      <c r="N12" s="20" t="s">
        <v>100</v>
      </c>
    </row>
    <row r="13" ht="15.75" customHeight="1">
      <c r="A13" s="21"/>
      <c r="B13" s="22"/>
      <c r="C13" s="22"/>
      <c r="D13" s="22"/>
      <c r="E13" s="41" t="s">
        <v>101</v>
      </c>
      <c r="F13" s="23" t="s">
        <v>102</v>
      </c>
      <c r="G13" s="23" t="s">
        <v>103</v>
      </c>
      <c r="H13" s="23" t="s">
        <v>104</v>
      </c>
      <c r="I13" s="22"/>
      <c r="J13" s="22"/>
      <c r="K13" s="25"/>
      <c r="L13" s="26"/>
      <c r="M13" s="27"/>
      <c r="N13" s="42" t="s">
        <v>100</v>
      </c>
    </row>
    <row r="14" ht="15.75" customHeight="1">
      <c r="A14" s="6" t="s">
        <v>94</v>
      </c>
      <c r="B14" s="7" t="s">
        <v>105</v>
      </c>
      <c r="C14" s="7" t="s">
        <v>106</v>
      </c>
      <c r="D14" s="7" t="s">
        <v>30</v>
      </c>
      <c r="E14" s="7" t="s">
        <v>87</v>
      </c>
      <c r="F14" s="7" t="s">
        <v>30</v>
      </c>
      <c r="G14" s="7" t="s">
        <v>107</v>
      </c>
      <c r="H14" s="7" t="s">
        <v>108</v>
      </c>
      <c r="I14" s="8">
        <v>1.0</v>
      </c>
      <c r="J14" s="8">
        <v>2.0</v>
      </c>
      <c r="K14" s="29">
        <v>1.0</v>
      </c>
      <c r="L14" s="30">
        <f>SUM(I14:K14)</f>
        <v>4</v>
      </c>
      <c r="M14" s="9" t="str">
        <f>IF(COUNTIF(I14:K14,"3")&gt;0,"*","")</f>
        <v/>
      </c>
      <c r="N14" s="31" t="s">
        <v>100</v>
      </c>
    </row>
    <row r="15" ht="15.75" customHeight="1">
      <c r="A15" s="6"/>
      <c r="B15" s="7"/>
      <c r="C15" s="7"/>
      <c r="D15" s="7"/>
      <c r="E15" s="7"/>
      <c r="F15" s="7"/>
      <c r="G15" s="7"/>
      <c r="H15" s="7"/>
      <c r="I15" s="8"/>
      <c r="J15" s="8"/>
      <c r="K15" s="29"/>
      <c r="L15" s="30"/>
      <c r="M15" s="9"/>
      <c r="N15" s="31"/>
    </row>
    <row r="16" ht="15.75" customHeight="1">
      <c r="A16" s="6" t="s">
        <v>109</v>
      </c>
      <c r="B16" s="7" t="s">
        <v>110</v>
      </c>
      <c r="C16" s="7" t="s">
        <v>111</v>
      </c>
      <c r="D16" s="7" t="s">
        <v>112</v>
      </c>
      <c r="E16" s="7" t="s">
        <v>113</v>
      </c>
      <c r="F16" s="7" t="s">
        <v>114</v>
      </c>
      <c r="G16" s="7" t="s">
        <v>115</v>
      </c>
      <c r="H16" s="7" t="s">
        <v>116</v>
      </c>
      <c r="I16" s="8">
        <v>3.0</v>
      </c>
      <c r="J16" s="8">
        <v>3.0</v>
      </c>
      <c r="K16" s="29">
        <v>3.0</v>
      </c>
      <c r="L16" s="30">
        <f>SUM(I16:K16)</f>
        <v>9</v>
      </c>
      <c r="M16" s="9" t="str">
        <f>IF(COUNTIF(I16:K16,"3")&gt;0,"*","")</f>
        <v>*</v>
      </c>
      <c r="N16" s="31" t="s">
        <v>117</v>
      </c>
    </row>
    <row r="17" ht="15.75" customHeight="1">
      <c r="L17" s="43"/>
      <c r="M17" s="44"/>
    </row>
    <row r="18" ht="18.75" customHeight="1">
      <c r="A18" s="13" t="s">
        <v>118</v>
      </c>
      <c r="B18" s="14" t="s">
        <v>119</v>
      </c>
      <c r="C18" s="14" t="s">
        <v>120</v>
      </c>
      <c r="D18" s="45" t="s">
        <v>121</v>
      </c>
      <c r="E18" s="46" t="s">
        <v>87</v>
      </c>
      <c r="F18" s="46" t="s">
        <v>122</v>
      </c>
      <c r="G18" s="46" t="s">
        <v>123</v>
      </c>
      <c r="H18" s="46" t="s">
        <v>124</v>
      </c>
      <c r="I18" s="47">
        <v>0.0</v>
      </c>
      <c r="J18" s="47">
        <v>1.0</v>
      </c>
      <c r="K18" s="48">
        <v>1.0</v>
      </c>
      <c r="L18" s="18">
        <f>SUM(I18:K20)</f>
        <v>2</v>
      </c>
      <c r="M18" s="19" t="str">
        <f>IF(COUNTIF(I18:K18,"3")&gt;0,"*","")</f>
        <v/>
      </c>
      <c r="N18" s="49" t="s">
        <v>125</v>
      </c>
    </row>
    <row r="19" ht="20.25" customHeight="1">
      <c r="A19" s="33"/>
      <c r="B19" s="34"/>
      <c r="C19" s="34"/>
      <c r="D19" s="34"/>
      <c r="E19" s="50" t="s">
        <v>126</v>
      </c>
      <c r="F19" s="50" t="s">
        <v>122</v>
      </c>
      <c r="G19" s="50" t="s">
        <v>123</v>
      </c>
      <c r="H19" s="50" t="s">
        <v>124</v>
      </c>
      <c r="I19" s="34"/>
      <c r="J19" s="34"/>
      <c r="K19" s="36"/>
      <c r="L19" s="37"/>
      <c r="M19" s="51"/>
      <c r="N19" s="52" t="s">
        <v>125</v>
      </c>
    </row>
    <row r="20" ht="26.25" customHeight="1">
      <c r="A20" s="21"/>
      <c r="B20" s="22"/>
      <c r="C20" s="22"/>
      <c r="D20" s="22"/>
      <c r="E20" s="53" t="s">
        <v>127</v>
      </c>
      <c r="F20" s="53" t="s">
        <v>56</v>
      </c>
      <c r="G20" s="54" t="s">
        <v>128</v>
      </c>
      <c r="H20" s="54" t="s">
        <v>129</v>
      </c>
      <c r="I20" s="22"/>
      <c r="J20" s="22"/>
      <c r="K20" s="25"/>
      <c r="L20" s="26"/>
      <c r="M20" s="27"/>
      <c r="N20" s="55" t="s">
        <v>130</v>
      </c>
    </row>
    <row r="21" ht="33.0" customHeight="1">
      <c r="A21" s="13" t="s">
        <v>131</v>
      </c>
      <c r="B21" s="14" t="s">
        <v>132</v>
      </c>
      <c r="C21" s="14" t="s">
        <v>133</v>
      </c>
      <c r="D21" s="14" t="s">
        <v>134</v>
      </c>
      <c r="E21" s="46" t="s">
        <v>87</v>
      </c>
      <c r="F21" s="46" t="s">
        <v>30</v>
      </c>
      <c r="G21" s="46" t="s">
        <v>135</v>
      </c>
      <c r="H21" s="46" t="s">
        <v>136</v>
      </c>
      <c r="I21" s="14">
        <v>1.0</v>
      </c>
      <c r="J21" s="14">
        <v>1.0</v>
      </c>
      <c r="K21" s="56">
        <v>1.0</v>
      </c>
      <c r="L21" s="18">
        <f>SUM(I21:K22)</f>
        <v>3</v>
      </c>
      <c r="M21" s="19" t="str">
        <f>IF(COUNTIF(I21:K21,"3")&gt;0,"*","")</f>
        <v/>
      </c>
      <c r="N21" s="49" t="s">
        <v>137</v>
      </c>
    </row>
    <row r="22" ht="15.75" customHeight="1">
      <c r="A22" s="21"/>
      <c r="B22" s="22"/>
      <c r="C22" s="22"/>
      <c r="D22" s="22"/>
      <c r="E22" s="53" t="s">
        <v>138</v>
      </c>
      <c r="F22" s="53" t="s">
        <v>56</v>
      </c>
      <c r="G22" s="53" t="s">
        <v>128</v>
      </c>
      <c r="H22" s="53" t="s">
        <v>139</v>
      </c>
      <c r="I22" s="22"/>
      <c r="J22" s="22"/>
      <c r="K22" s="25"/>
      <c r="L22" s="26"/>
      <c r="M22" s="27"/>
      <c r="N22" s="28" t="s">
        <v>140</v>
      </c>
    </row>
    <row r="23" ht="15.75" customHeight="1">
      <c r="A23" s="6"/>
      <c r="B23" s="7"/>
      <c r="C23" s="7"/>
      <c r="D23" s="7"/>
      <c r="E23" s="57"/>
      <c r="F23" s="57"/>
      <c r="G23" s="57"/>
      <c r="H23" s="57"/>
      <c r="I23" s="58"/>
      <c r="J23" s="58"/>
      <c r="K23" s="59"/>
      <c r="L23" s="30"/>
      <c r="M23" s="60"/>
      <c r="N23" s="61"/>
    </row>
    <row r="24" ht="15.75" customHeight="1">
      <c r="A24" s="6" t="s">
        <v>141</v>
      </c>
      <c r="B24" s="7" t="s">
        <v>142</v>
      </c>
      <c r="C24" s="7" t="s">
        <v>143</v>
      </c>
      <c r="D24" s="7" t="s">
        <v>121</v>
      </c>
      <c r="E24" s="58" t="s">
        <v>144</v>
      </c>
      <c r="F24" s="58" t="s">
        <v>56</v>
      </c>
      <c r="G24" s="58" t="s">
        <v>128</v>
      </c>
      <c r="H24" s="58" t="s">
        <v>145</v>
      </c>
      <c r="I24" s="7">
        <v>0.0</v>
      </c>
      <c r="J24" s="7">
        <v>2.0</v>
      </c>
      <c r="K24" s="62">
        <v>1.0</v>
      </c>
      <c r="L24" s="30">
        <f t="shared" ref="L24:L25" si="5">SUM(I24:K24)</f>
        <v>3</v>
      </c>
      <c r="M24" s="9" t="str">
        <f t="shared" ref="M24:M25" si="6">IF(COUNTIF(I24:K24,"3")&gt;0,"*","")</f>
        <v/>
      </c>
      <c r="N24" s="63" t="s">
        <v>130</v>
      </c>
    </row>
    <row r="25" ht="15.75" customHeight="1">
      <c r="A25" s="64" t="s">
        <v>146</v>
      </c>
      <c r="B25" s="58" t="s">
        <v>147</v>
      </c>
      <c r="C25" s="7" t="s">
        <v>148</v>
      </c>
      <c r="D25" s="58" t="s">
        <v>34</v>
      </c>
      <c r="E25" s="7" t="s">
        <v>149</v>
      </c>
      <c r="F25" s="58"/>
      <c r="G25" s="58"/>
      <c r="H25" s="58"/>
      <c r="I25" s="58">
        <v>1.0</v>
      </c>
      <c r="J25" s="58">
        <v>3.0</v>
      </c>
      <c r="K25" s="59">
        <v>2.0</v>
      </c>
      <c r="L25" s="30">
        <f t="shared" si="5"/>
        <v>6</v>
      </c>
      <c r="M25" s="9" t="str">
        <f t="shared" si="6"/>
        <v>*</v>
      </c>
      <c r="N25" s="31" t="s">
        <v>59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L18:L20"/>
    <mergeCell ref="M18:M20"/>
    <mergeCell ref="A18:A20"/>
    <mergeCell ref="B18:B20"/>
    <mergeCell ref="C18:C20"/>
    <mergeCell ref="D18:D20"/>
    <mergeCell ref="I18:I20"/>
    <mergeCell ref="J18:J20"/>
    <mergeCell ref="K18:K20"/>
    <mergeCell ref="L21:L22"/>
    <mergeCell ref="M21:M22"/>
    <mergeCell ref="A21:A22"/>
    <mergeCell ref="B21:B22"/>
    <mergeCell ref="C21:C22"/>
    <mergeCell ref="D21:D22"/>
    <mergeCell ref="I21:I22"/>
    <mergeCell ref="J21:J22"/>
    <mergeCell ref="K21:K22"/>
    <mergeCell ref="J2:J3"/>
    <mergeCell ref="K2:K3"/>
    <mergeCell ref="L2:L3"/>
    <mergeCell ref="M2:M3"/>
    <mergeCell ref="L1:M1"/>
    <mergeCell ref="A2:A3"/>
    <mergeCell ref="B2:B3"/>
    <mergeCell ref="C2:C3"/>
    <mergeCell ref="D2:D3"/>
    <mergeCell ref="H2:H3"/>
    <mergeCell ref="I2:I3"/>
    <mergeCell ref="K6:K9"/>
    <mergeCell ref="L6:L9"/>
    <mergeCell ref="M6:M9"/>
    <mergeCell ref="A6:A9"/>
    <mergeCell ref="B6:B9"/>
    <mergeCell ref="C6:C9"/>
    <mergeCell ref="D6:D9"/>
    <mergeCell ref="H6:H9"/>
    <mergeCell ref="I6:I9"/>
    <mergeCell ref="J6:J9"/>
    <mergeCell ref="L12:L13"/>
    <mergeCell ref="M12:M13"/>
    <mergeCell ref="A12:A13"/>
    <mergeCell ref="B12:B13"/>
    <mergeCell ref="C12:C13"/>
    <mergeCell ref="D12:D13"/>
    <mergeCell ref="I12:I13"/>
    <mergeCell ref="J12:J13"/>
    <mergeCell ref="K12:K1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24.88"/>
    <col customWidth="1" min="3" max="3" width="43.88"/>
    <col customWidth="1" min="4" max="7" width="24.88"/>
    <col customWidth="1" min="8" max="8" width="16.13"/>
    <col customWidth="1" min="9" max="9" width="15.13"/>
    <col customWidth="1" min="10" max="10" width="15.5"/>
    <col customWidth="1" min="11" max="11" width="9.63"/>
    <col customWidth="1" min="12" max="12" width="6.13"/>
    <col customWidth="1" min="13" max="13" width="35.13"/>
    <col customWidth="1" min="14" max="26" width="14.5"/>
  </cols>
  <sheetData>
    <row r="1" ht="15.75" customHeight="1">
      <c r="A1" s="65" t="s">
        <v>0</v>
      </c>
      <c r="B1" s="66" t="s">
        <v>150</v>
      </c>
      <c r="C1" s="66" t="s">
        <v>2</v>
      </c>
      <c r="D1" s="66" t="s">
        <v>3</v>
      </c>
      <c r="E1" s="66" t="s">
        <v>151</v>
      </c>
      <c r="F1" s="66" t="s">
        <v>39</v>
      </c>
      <c r="G1" s="66" t="s">
        <v>40</v>
      </c>
      <c r="H1" s="67" t="s">
        <v>5</v>
      </c>
      <c r="I1" s="67" t="s">
        <v>6</v>
      </c>
      <c r="J1" s="67" t="s">
        <v>7</v>
      </c>
      <c r="K1" s="68" t="s">
        <v>10</v>
      </c>
      <c r="L1" s="69"/>
      <c r="M1" s="66" t="s">
        <v>11</v>
      </c>
    </row>
    <row r="2" ht="15.75" customHeight="1">
      <c r="A2" s="70" t="s">
        <v>152</v>
      </c>
      <c r="B2" s="71" t="s">
        <v>153</v>
      </c>
      <c r="C2" s="71" t="s">
        <v>154</v>
      </c>
      <c r="D2" s="72" t="s">
        <v>155</v>
      </c>
      <c r="E2" s="71" t="s">
        <v>56</v>
      </c>
      <c r="F2" s="71" t="s">
        <v>156</v>
      </c>
      <c r="G2" s="71" t="s">
        <v>157</v>
      </c>
      <c r="H2" s="8">
        <v>2.0</v>
      </c>
      <c r="I2" s="8">
        <v>3.0</v>
      </c>
      <c r="J2" s="8">
        <v>3.0</v>
      </c>
      <c r="K2" s="9">
        <f t="shared" ref="K2:K3" si="1">SUM(H2:J2)</f>
        <v>8</v>
      </c>
      <c r="L2" s="9" t="str">
        <f t="shared" ref="L2:L3" si="2">IF(COUNTIF(H2:J2,"3")&gt;0,"*","")</f>
        <v>*</v>
      </c>
      <c r="M2" s="71" t="s">
        <v>158</v>
      </c>
    </row>
    <row r="3" ht="15.75" customHeight="1">
      <c r="A3" s="70" t="s">
        <v>152</v>
      </c>
      <c r="B3" s="71" t="s">
        <v>159</v>
      </c>
      <c r="C3" s="71" t="s">
        <v>160</v>
      </c>
      <c r="D3" s="72" t="s">
        <v>155</v>
      </c>
      <c r="E3" s="71" t="s">
        <v>56</v>
      </c>
      <c r="F3" s="71" t="s">
        <v>161</v>
      </c>
      <c r="G3" s="71" t="s">
        <v>162</v>
      </c>
      <c r="H3" s="8">
        <v>3.0</v>
      </c>
      <c r="I3" s="8">
        <v>3.0</v>
      </c>
      <c r="J3" s="8">
        <v>3.0</v>
      </c>
      <c r="K3" s="9">
        <f t="shared" si="1"/>
        <v>9</v>
      </c>
      <c r="L3" s="9" t="str">
        <f t="shared" si="2"/>
        <v>*</v>
      </c>
      <c r="M3" s="71" t="s">
        <v>163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9.0"/>
    <col customWidth="1" min="2" max="2" width="31.5"/>
    <col customWidth="1" min="3" max="3" width="65.38"/>
    <col customWidth="1" min="4" max="4" width="20.13"/>
    <col customWidth="1" min="5" max="5" width="19.38"/>
    <col customWidth="1" min="6" max="6" width="24.0"/>
    <col customWidth="1" min="7" max="7" width="45.88"/>
    <col customWidth="1" min="8" max="8" width="18.38"/>
    <col customWidth="1" min="9" max="10" width="14.5"/>
    <col customWidth="1" min="11" max="11" width="10.38"/>
    <col customWidth="1" min="12" max="12" width="4.38"/>
    <col customWidth="1" min="13" max="13" width="41.13"/>
    <col customWidth="1" min="14" max="26" width="14.5"/>
  </cols>
  <sheetData>
    <row r="1" ht="15.75" customHeight="1">
      <c r="A1" s="65" t="s">
        <v>0</v>
      </c>
      <c r="B1" s="66" t="s">
        <v>150</v>
      </c>
      <c r="C1" s="66" t="s">
        <v>2</v>
      </c>
      <c r="D1" s="66" t="s">
        <v>3</v>
      </c>
      <c r="E1" s="66" t="s">
        <v>151</v>
      </c>
      <c r="F1" s="66" t="s">
        <v>39</v>
      </c>
      <c r="G1" s="66" t="s">
        <v>40</v>
      </c>
      <c r="H1" s="66" t="s">
        <v>5</v>
      </c>
      <c r="I1" s="66" t="s">
        <v>6</v>
      </c>
      <c r="J1" s="66" t="s">
        <v>7</v>
      </c>
      <c r="K1" s="73" t="s">
        <v>10</v>
      </c>
      <c r="L1" s="74"/>
      <c r="M1" s="75" t="s">
        <v>11</v>
      </c>
    </row>
    <row r="2" ht="15.75" customHeight="1">
      <c r="A2" s="70" t="s">
        <v>164</v>
      </c>
      <c r="B2" s="71" t="s">
        <v>165</v>
      </c>
      <c r="C2" s="71" t="s">
        <v>166</v>
      </c>
      <c r="D2" s="71" t="s">
        <v>155</v>
      </c>
      <c r="E2" s="71" t="s">
        <v>56</v>
      </c>
      <c r="F2" s="71" t="s">
        <v>167</v>
      </c>
      <c r="G2" s="71" t="s">
        <v>168</v>
      </c>
      <c r="H2" s="71"/>
      <c r="I2" s="71"/>
      <c r="J2" s="71"/>
      <c r="K2" s="9">
        <f t="shared" ref="K2:K4" si="1">SUM(H2:J2)</f>
        <v>0</v>
      </c>
      <c r="L2" s="9" t="str">
        <f t="shared" ref="L2:L4" si="2">IF(COUNTIF(H2:J2,"3")&gt;0,"*","")</f>
        <v/>
      </c>
      <c r="M2" s="71"/>
    </row>
    <row r="3" ht="15.75" customHeight="1">
      <c r="A3" s="70" t="s">
        <v>169</v>
      </c>
      <c r="B3" s="71" t="s">
        <v>170</v>
      </c>
      <c r="C3" s="71" t="s">
        <v>171</v>
      </c>
      <c r="D3" s="71" t="s">
        <v>155</v>
      </c>
      <c r="E3" s="71" t="s">
        <v>56</v>
      </c>
      <c r="F3" s="71" t="s">
        <v>56</v>
      </c>
      <c r="G3" s="71" t="s">
        <v>168</v>
      </c>
      <c r="H3" s="71"/>
      <c r="I3" s="71"/>
      <c r="J3" s="71"/>
      <c r="K3" s="9">
        <f t="shared" si="1"/>
        <v>0</v>
      </c>
      <c r="L3" s="9" t="str">
        <f t="shared" si="2"/>
        <v/>
      </c>
      <c r="M3" s="71"/>
    </row>
    <row r="4" ht="15.75" customHeight="1">
      <c r="A4" s="70" t="s">
        <v>172</v>
      </c>
      <c r="B4" s="71" t="s">
        <v>173</v>
      </c>
      <c r="C4" s="71" t="s">
        <v>174</v>
      </c>
      <c r="D4" s="71" t="s">
        <v>155</v>
      </c>
      <c r="E4" s="71" t="s">
        <v>56</v>
      </c>
      <c r="F4" s="71" t="s">
        <v>56</v>
      </c>
      <c r="G4" s="71" t="s">
        <v>168</v>
      </c>
      <c r="H4" s="71"/>
      <c r="I4" s="71"/>
      <c r="J4" s="71"/>
      <c r="K4" s="9">
        <f t="shared" si="1"/>
        <v>0</v>
      </c>
      <c r="L4" s="9" t="str">
        <f t="shared" si="2"/>
        <v/>
      </c>
      <c r="M4" s="71"/>
    </row>
    <row r="5" ht="15.75" customHeight="1">
      <c r="A5" s="70" t="s">
        <v>175</v>
      </c>
      <c r="B5" s="71" t="s">
        <v>176</v>
      </c>
      <c r="C5" s="71" t="s">
        <v>177</v>
      </c>
      <c r="D5" s="71" t="s">
        <v>178</v>
      </c>
      <c r="E5" s="71" t="s">
        <v>179</v>
      </c>
      <c r="F5" s="71" t="s">
        <v>179</v>
      </c>
      <c r="G5" s="71" t="s">
        <v>180</v>
      </c>
      <c r="H5" s="71"/>
      <c r="I5" s="71"/>
      <c r="J5" s="9">
        <f>SUM(G5:I5)</f>
        <v>0</v>
      </c>
      <c r="K5" s="9" t="str">
        <f>IF(COUNTIF(G5:I5,"3")&gt;0,"*","")</f>
        <v/>
      </c>
      <c r="L5" s="71" t="s">
        <v>181</v>
      </c>
    </row>
    <row r="6" ht="15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</row>
    <row r="7" ht="15.75" customHeight="1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</row>
    <row r="8" ht="15.75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</row>
    <row r="9" ht="15.75" customHeight="1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</row>
    <row r="10" ht="15.75" customHeight="1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</row>
    <row r="11" ht="15.75" customHeight="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</row>
    <row r="12" ht="15.75" customHeight="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</row>
    <row r="13" ht="15.75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</row>
    <row r="14" ht="15.75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</row>
    <row r="15" ht="15.7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</row>
    <row r="16" ht="15.75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</row>
    <row r="17" ht="15.75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</row>
    <row r="18" ht="15.75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</row>
    <row r="19" ht="15.75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</row>
    <row r="20" ht="15.75" customHeigh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</row>
    <row r="21" ht="15.7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</row>
    <row r="22" ht="15.7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</row>
    <row r="23" ht="15.7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</row>
    <row r="24" ht="15.7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</row>
    <row r="25" ht="15.7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</row>
    <row r="26" ht="15.7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</row>
    <row r="27" ht="15.7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</row>
    <row r="28" ht="15.7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ht="15.7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</row>
    <row r="30" ht="15.7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ht="15.7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</row>
    <row r="32" ht="15.7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</row>
    <row r="33" ht="15.7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ht="15.7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ht="15.7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ht="15.7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ht="15.7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</row>
    <row r="38" ht="15.7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</row>
    <row r="39" ht="15.7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</row>
    <row r="40" ht="15.7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</row>
    <row r="41" ht="15.7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</row>
    <row r="42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</row>
    <row r="43" ht="15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</row>
    <row r="44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</row>
    <row r="45" ht="15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</row>
    <row r="46" ht="15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</row>
    <row r="4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</row>
    <row r="48" ht="15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</row>
    <row r="49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</row>
    <row r="50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</row>
    <row r="51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</row>
    <row r="5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</row>
    <row r="53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</row>
    <row r="54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:L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5"/>
    <col customWidth="1" min="2" max="2" width="31.5"/>
    <col customWidth="1" min="3" max="3" width="29.5"/>
    <col customWidth="1" min="4" max="4" width="24.88"/>
    <col customWidth="1" min="5" max="5" width="19.63"/>
    <col customWidth="1" min="6" max="6" width="33.63"/>
    <col customWidth="1" min="7" max="7" width="14.5"/>
    <col customWidth="1" min="8" max="8" width="22.13"/>
    <col customWidth="1" min="9" max="10" width="14.5"/>
    <col customWidth="1" min="11" max="11" width="14.38"/>
    <col customWidth="1" min="12" max="12" width="4.5"/>
    <col customWidth="1" min="13" max="13" width="57.38"/>
    <col customWidth="1" min="14" max="26" width="14.5"/>
  </cols>
  <sheetData>
    <row r="1" ht="15.75" customHeight="1">
      <c r="A1" s="1" t="s">
        <v>0</v>
      </c>
      <c r="B1" s="2" t="s">
        <v>150</v>
      </c>
      <c r="C1" s="3" t="s">
        <v>2</v>
      </c>
      <c r="D1" s="3" t="s">
        <v>3</v>
      </c>
      <c r="E1" s="3" t="s">
        <v>182</v>
      </c>
      <c r="F1" s="3" t="s">
        <v>39</v>
      </c>
      <c r="G1" s="3" t="s">
        <v>40</v>
      </c>
      <c r="H1" s="4" t="s">
        <v>5</v>
      </c>
      <c r="I1" s="4" t="s">
        <v>6</v>
      </c>
      <c r="J1" s="4" t="s">
        <v>7</v>
      </c>
      <c r="K1" s="68" t="s">
        <v>10</v>
      </c>
      <c r="L1" s="69"/>
      <c r="M1" s="3" t="s">
        <v>11</v>
      </c>
    </row>
    <row r="2" ht="39.75" customHeight="1">
      <c r="A2" s="6" t="s">
        <v>183</v>
      </c>
      <c r="B2" s="7" t="s">
        <v>149</v>
      </c>
      <c r="C2" s="7" t="s">
        <v>184</v>
      </c>
      <c r="D2" s="7" t="s">
        <v>155</v>
      </c>
      <c r="E2" s="7" t="s">
        <v>56</v>
      </c>
      <c r="F2" s="7" t="s">
        <v>185</v>
      </c>
      <c r="G2" s="7" t="s">
        <v>114</v>
      </c>
      <c r="H2" s="7">
        <v>3.0</v>
      </c>
      <c r="I2" s="7">
        <v>3.0</v>
      </c>
      <c r="J2" s="7">
        <v>3.0</v>
      </c>
      <c r="K2" s="9">
        <f t="shared" ref="K2:K3" si="1">SUM(H2:J2)</f>
        <v>9</v>
      </c>
      <c r="L2" s="9" t="str">
        <f t="shared" ref="L2:L3" si="2">IF(COUNTIF(H2:J2,"3")&gt;0,"*","")</f>
        <v>*</v>
      </c>
      <c r="M2" s="7" t="s">
        <v>186</v>
      </c>
    </row>
    <row r="3" ht="55.5" customHeight="1">
      <c r="A3" s="6" t="s">
        <v>187</v>
      </c>
      <c r="B3" s="7" t="s">
        <v>188</v>
      </c>
      <c r="C3" s="7" t="s">
        <v>189</v>
      </c>
      <c r="D3" s="7" t="s">
        <v>190</v>
      </c>
      <c r="E3" s="7" t="s">
        <v>191</v>
      </c>
      <c r="F3" s="7" t="s">
        <v>192</v>
      </c>
      <c r="G3" s="7" t="s">
        <v>134</v>
      </c>
      <c r="H3" s="7">
        <v>1.0</v>
      </c>
      <c r="I3" s="7">
        <v>3.0</v>
      </c>
      <c r="J3" s="7">
        <v>2.0</v>
      </c>
      <c r="K3" s="9">
        <f t="shared" si="1"/>
        <v>6</v>
      </c>
      <c r="L3" s="9" t="str">
        <f t="shared" si="2"/>
        <v>*</v>
      </c>
      <c r="M3" s="7" t="s">
        <v>193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:L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5"/>
    <col customWidth="1" min="2" max="2" width="42.88"/>
    <col customWidth="1" min="3" max="3" width="65.38"/>
    <col customWidth="1" min="4" max="4" width="23.5"/>
    <col customWidth="1" min="5" max="5" width="29.63"/>
    <col customWidth="1" min="6" max="6" width="51.5"/>
    <col customWidth="1" min="7" max="7" width="18.38"/>
    <col customWidth="1" min="8" max="9" width="14.5"/>
    <col customWidth="1" min="10" max="10" width="6.88"/>
    <col customWidth="1" min="11" max="11" width="7.13"/>
    <col customWidth="1" min="12" max="12" width="41.13"/>
    <col customWidth="1" min="13" max="26" width="14.5"/>
  </cols>
  <sheetData>
    <row r="1" ht="15.75" customHeight="1">
      <c r="A1" s="65" t="s">
        <v>0</v>
      </c>
      <c r="B1" s="66" t="s">
        <v>150</v>
      </c>
      <c r="C1" s="66" t="s">
        <v>2</v>
      </c>
      <c r="D1" s="66" t="s">
        <v>3</v>
      </c>
      <c r="E1" s="66" t="s">
        <v>151</v>
      </c>
      <c r="F1" s="66" t="s">
        <v>39</v>
      </c>
      <c r="G1" s="66" t="s">
        <v>5</v>
      </c>
      <c r="H1" s="66" t="s">
        <v>6</v>
      </c>
      <c r="I1" s="66" t="s">
        <v>7</v>
      </c>
      <c r="J1" s="77" t="s">
        <v>10</v>
      </c>
      <c r="K1" s="74"/>
      <c r="L1" s="75" t="s">
        <v>11</v>
      </c>
    </row>
    <row r="2" ht="34.5" customHeight="1">
      <c r="A2" s="70" t="s">
        <v>194</v>
      </c>
      <c r="B2" s="71" t="s">
        <v>195</v>
      </c>
      <c r="C2" s="71" t="s">
        <v>196</v>
      </c>
      <c r="D2" s="71" t="s">
        <v>30</v>
      </c>
      <c r="E2" s="71" t="s">
        <v>197</v>
      </c>
      <c r="F2" s="71" t="s">
        <v>197</v>
      </c>
      <c r="G2" s="71">
        <v>2.0</v>
      </c>
      <c r="H2" s="71">
        <v>3.0</v>
      </c>
      <c r="I2" s="71">
        <v>3.0</v>
      </c>
      <c r="J2" s="9">
        <f>SUM(G2:I2)</f>
        <v>8</v>
      </c>
      <c r="K2" s="9" t="str">
        <f>IF(COUNTIF(G2:I2,"3")&gt;0,"*","")</f>
        <v>*</v>
      </c>
      <c r="L2" s="71" t="s">
        <v>181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K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5"/>
    <col customWidth="1" min="2" max="2" width="36.5"/>
    <col customWidth="1" min="3" max="3" width="65.38"/>
    <col customWidth="1" min="4" max="4" width="14.5"/>
    <col customWidth="1" min="5" max="5" width="29.63"/>
    <col customWidth="1" min="6" max="6" width="51.5"/>
    <col customWidth="1" min="7" max="7" width="18.38"/>
    <col customWidth="1" min="8" max="9" width="14.5"/>
    <col customWidth="1" min="10" max="10" width="10.5"/>
    <col customWidth="1" min="11" max="11" width="10.38"/>
    <col customWidth="1" min="12" max="13" width="41.13"/>
    <col customWidth="1" min="14" max="26" width="14.5"/>
  </cols>
  <sheetData>
    <row r="1" ht="15.75" customHeight="1">
      <c r="A1" s="65" t="s">
        <v>0</v>
      </c>
      <c r="B1" s="66" t="s">
        <v>150</v>
      </c>
      <c r="C1" s="66" t="s">
        <v>2</v>
      </c>
      <c r="D1" s="66" t="s">
        <v>3</v>
      </c>
      <c r="E1" s="66" t="s">
        <v>151</v>
      </c>
      <c r="F1" s="66" t="s">
        <v>39</v>
      </c>
      <c r="G1" s="66" t="s">
        <v>5</v>
      </c>
      <c r="H1" s="66" t="s">
        <v>6</v>
      </c>
      <c r="I1" s="66" t="s">
        <v>7</v>
      </c>
      <c r="J1" s="78" t="s">
        <v>10</v>
      </c>
      <c r="K1" s="74"/>
      <c r="L1" s="75" t="s">
        <v>11</v>
      </c>
      <c r="M1" s="75"/>
    </row>
    <row r="2" ht="15.75" customHeight="1">
      <c r="A2" s="70" t="s">
        <v>198</v>
      </c>
      <c r="B2" s="71" t="s">
        <v>199</v>
      </c>
      <c r="C2" s="71" t="s">
        <v>200</v>
      </c>
      <c r="D2" s="71" t="s">
        <v>201</v>
      </c>
      <c r="E2" s="71" t="s">
        <v>202</v>
      </c>
      <c r="F2" s="71" t="s">
        <v>203</v>
      </c>
      <c r="G2" s="71"/>
      <c r="H2" s="71"/>
      <c r="I2" s="71"/>
      <c r="J2" s="9">
        <f t="shared" ref="J2:J3" si="1">SUM(G2:I2)</f>
        <v>0</v>
      </c>
      <c r="K2" s="9" t="str">
        <f t="shared" ref="K2:K3" si="2">IF(COUNTIF(G2:I2,"3")&gt;0,"*","")</f>
        <v/>
      </c>
      <c r="L2" s="71" t="s">
        <v>204</v>
      </c>
      <c r="M2" s="76"/>
    </row>
    <row r="3" ht="15.75" customHeight="1">
      <c r="A3" s="70" t="s">
        <v>205</v>
      </c>
      <c r="B3" s="71" t="s">
        <v>206</v>
      </c>
      <c r="C3" s="71" t="s">
        <v>207</v>
      </c>
      <c r="D3" s="71" t="s">
        <v>201</v>
      </c>
      <c r="E3" s="71" t="s">
        <v>30</v>
      </c>
      <c r="F3" s="71" t="s">
        <v>208</v>
      </c>
      <c r="G3" s="71"/>
      <c r="H3" s="71"/>
      <c r="I3" s="71"/>
      <c r="J3" s="9">
        <f t="shared" si="1"/>
        <v>0</v>
      </c>
      <c r="K3" s="9" t="str">
        <f t="shared" si="2"/>
        <v/>
      </c>
      <c r="L3" s="71" t="s">
        <v>204</v>
      </c>
      <c r="M3" s="76"/>
    </row>
    <row r="4" ht="15.75" customHeight="1">
      <c r="A4" s="70" t="s">
        <v>205</v>
      </c>
      <c r="B4" s="79" t="s">
        <v>209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K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5"/>
    <col customWidth="1" min="2" max="2" width="31.5"/>
    <col customWidth="1" min="3" max="3" width="86.38"/>
    <col customWidth="1" min="4" max="4" width="21.5"/>
    <col customWidth="1" min="5" max="5" width="20.63"/>
    <col customWidth="1" min="6" max="6" width="42.88"/>
    <col customWidth="1" min="7" max="7" width="18.38"/>
    <col customWidth="1" min="8" max="11" width="14.5"/>
    <col customWidth="1" min="12" max="12" width="36.13"/>
    <col customWidth="1" min="13" max="26" width="14.5"/>
  </cols>
  <sheetData>
    <row r="1" ht="15.75" customHeight="1">
      <c r="A1" s="80" t="s">
        <v>0</v>
      </c>
      <c r="B1" s="73" t="s">
        <v>150</v>
      </c>
      <c r="C1" s="80" t="s">
        <v>2</v>
      </c>
      <c r="D1" s="80" t="s">
        <v>3</v>
      </c>
      <c r="E1" s="80" t="s">
        <v>151</v>
      </c>
      <c r="F1" s="80" t="s">
        <v>39</v>
      </c>
      <c r="G1" s="80" t="s">
        <v>5</v>
      </c>
      <c r="H1" s="80" t="s">
        <v>6</v>
      </c>
      <c r="I1" s="80" t="s">
        <v>7</v>
      </c>
      <c r="J1" s="80" t="s">
        <v>10</v>
      </c>
      <c r="L1" s="81" t="s">
        <v>11</v>
      </c>
    </row>
    <row r="2" ht="15.75" customHeight="1">
      <c r="A2" s="70" t="s">
        <v>210</v>
      </c>
      <c r="B2" s="71" t="s">
        <v>211</v>
      </c>
      <c r="C2" s="71" t="s">
        <v>212</v>
      </c>
      <c r="D2" s="71" t="s">
        <v>155</v>
      </c>
      <c r="E2" s="71" t="s">
        <v>56</v>
      </c>
      <c r="F2" s="71" t="s">
        <v>213</v>
      </c>
      <c r="G2" s="71"/>
      <c r="H2" s="71"/>
      <c r="I2" s="71"/>
      <c r="J2" s="9">
        <f t="shared" ref="J2:J3" si="1">SUM(G2:I2)</f>
        <v>0</v>
      </c>
      <c r="K2" s="9" t="str">
        <f t="shared" ref="K2:K3" si="2">IF(COUNTIF(G2:I2,"3")&gt;0,"*","")</f>
        <v/>
      </c>
      <c r="L2" s="71"/>
    </row>
    <row r="3" ht="15.75" customHeight="1">
      <c r="A3" s="70" t="s">
        <v>214</v>
      </c>
      <c r="B3" s="71" t="s">
        <v>215</v>
      </c>
      <c r="C3" s="71" t="s">
        <v>216</v>
      </c>
      <c r="D3" s="71" t="s">
        <v>217</v>
      </c>
      <c r="E3" s="71" t="s">
        <v>218</v>
      </c>
      <c r="F3" s="71" t="s">
        <v>213</v>
      </c>
      <c r="G3" s="71"/>
      <c r="H3" s="71"/>
      <c r="I3" s="71"/>
      <c r="J3" s="9">
        <f t="shared" si="1"/>
        <v>0</v>
      </c>
      <c r="K3" s="9" t="str">
        <f t="shared" si="2"/>
        <v/>
      </c>
      <c r="L3" s="7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K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0.63"/>
    <col customWidth="1" min="2" max="2" width="36.0"/>
    <col customWidth="1" min="3" max="3" width="12.13"/>
    <col customWidth="1" min="4" max="4" width="33.88"/>
    <col customWidth="1" min="5" max="5" width="10.13"/>
    <col customWidth="1" min="6" max="6" width="38.0"/>
    <col customWidth="1" min="7" max="7" width="50.0"/>
    <col customWidth="1" min="8" max="8" width="62.38"/>
    <col customWidth="1" min="9" max="9" width="70.38"/>
    <col customWidth="1" min="10" max="10" width="21.5"/>
    <col customWidth="1" min="11" max="11" width="23.5"/>
    <col customWidth="1" min="12" max="12" width="10.0"/>
    <col customWidth="1" min="13" max="13" width="10.38"/>
    <col customWidth="1" min="14" max="14" width="69.38"/>
    <col customWidth="1" min="15" max="15" width="34.0"/>
    <col customWidth="1" min="16" max="16" width="22.63"/>
    <col customWidth="1" min="17" max="17" width="30.38"/>
    <col customWidth="1" min="18" max="26" width="14.5"/>
  </cols>
  <sheetData>
    <row r="1" ht="15.75" customHeight="1">
      <c r="A1" s="82" t="s">
        <v>0</v>
      </c>
      <c r="B1" s="80" t="s">
        <v>150</v>
      </c>
      <c r="C1" s="80" t="s">
        <v>219</v>
      </c>
      <c r="G1" s="80" t="s">
        <v>220</v>
      </c>
      <c r="H1" s="80" t="s">
        <v>221</v>
      </c>
      <c r="I1" s="80" t="s">
        <v>222</v>
      </c>
      <c r="J1" s="80" t="s">
        <v>223</v>
      </c>
      <c r="K1" s="80" t="s">
        <v>224</v>
      </c>
      <c r="L1" s="83" t="s">
        <v>225</v>
      </c>
      <c r="M1" s="80" t="s">
        <v>226</v>
      </c>
      <c r="N1" s="80" t="s">
        <v>227</v>
      </c>
      <c r="O1" s="84" t="s">
        <v>228</v>
      </c>
      <c r="P1" s="85"/>
      <c r="Q1" s="74"/>
    </row>
    <row r="2" ht="15.75" customHeight="1">
      <c r="A2" s="34"/>
      <c r="C2" s="86" t="s">
        <v>39</v>
      </c>
      <c r="D2" s="86" t="s">
        <v>229</v>
      </c>
      <c r="E2" s="80" t="s">
        <v>230</v>
      </c>
      <c r="F2" s="80" t="s">
        <v>231</v>
      </c>
      <c r="L2" s="87"/>
      <c r="O2" s="88" t="s">
        <v>232</v>
      </c>
      <c r="P2" s="89" t="s">
        <v>233</v>
      </c>
      <c r="Q2" s="90" t="s">
        <v>234</v>
      </c>
    </row>
    <row r="3" ht="15.75" customHeight="1">
      <c r="A3" s="7" t="s">
        <v>67</v>
      </c>
      <c r="B3" s="91" t="s">
        <v>235</v>
      </c>
      <c r="C3" s="91" t="s">
        <v>236</v>
      </c>
      <c r="D3" s="91" t="s">
        <v>237</v>
      </c>
      <c r="E3" s="91" t="s">
        <v>238</v>
      </c>
      <c r="F3" s="91" t="s">
        <v>239</v>
      </c>
      <c r="G3" s="91" t="s">
        <v>240</v>
      </c>
      <c r="H3" s="91" t="s">
        <v>241</v>
      </c>
      <c r="I3" s="91" t="s">
        <v>242</v>
      </c>
      <c r="J3" s="92">
        <v>5.0</v>
      </c>
      <c r="K3" s="92">
        <v>2.0</v>
      </c>
      <c r="L3" s="93">
        <f t="shared" ref="L3:L8" si="1">J3*K3</f>
        <v>10</v>
      </c>
      <c r="M3" s="91">
        <v>1.0</v>
      </c>
      <c r="N3" s="91" t="s">
        <v>243</v>
      </c>
      <c r="O3" s="91" t="s">
        <v>244</v>
      </c>
      <c r="P3" s="91" t="s">
        <v>245</v>
      </c>
      <c r="Q3" s="94" t="s">
        <v>246</v>
      </c>
    </row>
    <row r="4" ht="15.75" customHeight="1">
      <c r="A4" s="7" t="s">
        <v>67</v>
      </c>
      <c r="B4" s="91" t="s">
        <v>247</v>
      </c>
      <c r="C4" s="91" t="s">
        <v>236</v>
      </c>
      <c r="D4" s="91" t="s">
        <v>237</v>
      </c>
      <c r="E4" s="91" t="s">
        <v>248</v>
      </c>
      <c r="F4" s="91" t="s">
        <v>239</v>
      </c>
      <c r="G4" s="91" t="s">
        <v>249</v>
      </c>
      <c r="H4" s="91" t="s">
        <v>250</v>
      </c>
      <c r="I4" s="91" t="s">
        <v>251</v>
      </c>
      <c r="J4" s="91"/>
      <c r="K4" s="91"/>
      <c r="L4" s="93">
        <f t="shared" si="1"/>
        <v>0</v>
      </c>
      <c r="M4" s="91">
        <v>2.0</v>
      </c>
      <c r="N4" s="91" t="s">
        <v>252</v>
      </c>
      <c r="O4" s="91" t="s">
        <v>244</v>
      </c>
      <c r="P4" s="91" t="s">
        <v>253</v>
      </c>
      <c r="Q4" s="94" t="s">
        <v>254</v>
      </c>
    </row>
    <row r="5" ht="214.5" customHeight="1">
      <c r="A5" s="7" t="s">
        <v>67</v>
      </c>
      <c r="B5" s="91" t="s">
        <v>68</v>
      </c>
      <c r="C5" s="91" t="s">
        <v>255</v>
      </c>
      <c r="D5" s="91" t="s">
        <v>256</v>
      </c>
      <c r="E5" s="91" t="s">
        <v>248</v>
      </c>
      <c r="F5" s="91" t="s">
        <v>257</v>
      </c>
      <c r="G5" s="91" t="s">
        <v>258</v>
      </c>
      <c r="H5" s="91" t="s">
        <v>259</v>
      </c>
      <c r="I5" s="91"/>
      <c r="J5" s="91"/>
      <c r="K5" s="91"/>
      <c r="L5" s="93">
        <f t="shared" si="1"/>
        <v>0</v>
      </c>
      <c r="M5" s="91">
        <v>3.0</v>
      </c>
      <c r="N5" s="91" t="s">
        <v>260</v>
      </c>
      <c r="O5" s="91" t="s">
        <v>261</v>
      </c>
      <c r="P5" s="91" t="s">
        <v>262</v>
      </c>
      <c r="Q5" s="94" t="s">
        <v>263</v>
      </c>
    </row>
    <row r="6" ht="15.75" customHeight="1">
      <c r="A6" s="7" t="s">
        <v>109</v>
      </c>
      <c r="B6" s="91" t="s">
        <v>264</v>
      </c>
      <c r="C6" s="91" t="s">
        <v>236</v>
      </c>
      <c r="D6" s="91" t="s">
        <v>265</v>
      </c>
      <c r="E6" s="91" t="s">
        <v>238</v>
      </c>
      <c r="F6" s="91" t="s">
        <v>266</v>
      </c>
      <c r="G6" s="91" t="s">
        <v>267</v>
      </c>
      <c r="H6" s="91" t="s">
        <v>268</v>
      </c>
      <c r="I6" s="91"/>
      <c r="J6" s="91"/>
      <c r="K6" s="91"/>
      <c r="L6" s="93">
        <f t="shared" si="1"/>
        <v>0</v>
      </c>
      <c r="M6" s="91">
        <v>4.0</v>
      </c>
      <c r="N6" s="91" t="s">
        <v>269</v>
      </c>
      <c r="O6" s="91" t="s">
        <v>270</v>
      </c>
      <c r="P6" s="91" t="s">
        <v>271</v>
      </c>
      <c r="Q6" s="94" t="s">
        <v>272</v>
      </c>
    </row>
    <row r="7" ht="15.75" customHeight="1">
      <c r="A7" s="14" t="s">
        <v>109</v>
      </c>
      <c r="B7" s="95" t="s">
        <v>264</v>
      </c>
      <c r="C7" s="95" t="s">
        <v>236</v>
      </c>
      <c r="D7" s="95" t="s">
        <v>273</v>
      </c>
      <c r="E7" s="95" t="s">
        <v>238</v>
      </c>
      <c r="F7" s="95" t="s">
        <v>274</v>
      </c>
      <c r="G7" s="95" t="s">
        <v>275</v>
      </c>
      <c r="H7" s="95" t="s">
        <v>276</v>
      </c>
      <c r="I7" s="95"/>
      <c r="J7" s="95"/>
      <c r="K7" s="95"/>
      <c r="L7" s="96">
        <f t="shared" si="1"/>
        <v>0</v>
      </c>
      <c r="M7" s="95">
        <v>5.0</v>
      </c>
      <c r="N7" s="95" t="s">
        <v>277</v>
      </c>
      <c r="O7" s="95" t="s">
        <v>270</v>
      </c>
      <c r="P7" s="95" t="s">
        <v>271</v>
      </c>
      <c r="Q7" s="97" t="s">
        <v>275</v>
      </c>
    </row>
    <row r="8" ht="15.75" customHeight="1">
      <c r="A8" s="6" t="s">
        <v>187</v>
      </c>
      <c r="B8" s="7" t="s">
        <v>188</v>
      </c>
      <c r="C8" s="91" t="s">
        <v>255</v>
      </c>
      <c r="D8" s="91" t="s">
        <v>278</v>
      </c>
      <c r="E8" s="91" t="s">
        <v>248</v>
      </c>
      <c r="F8" s="91" t="s">
        <v>279</v>
      </c>
      <c r="G8" s="91" t="s">
        <v>280</v>
      </c>
      <c r="H8" s="91" t="s">
        <v>281</v>
      </c>
      <c r="I8" s="91" t="s">
        <v>282</v>
      </c>
      <c r="J8" s="91"/>
      <c r="K8" s="91"/>
      <c r="L8" s="96">
        <f t="shared" si="1"/>
        <v>0</v>
      </c>
      <c r="M8" s="91">
        <v>6.0</v>
      </c>
      <c r="N8" s="7" t="s">
        <v>283</v>
      </c>
      <c r="O8" s="91" t="s">
        <v>284</v>
      </c>
      <c r="P8" s="91" t="s">
        <v>285</v>
      </c>
      <c r="Q8" s="94" t="s">
        <v>286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1:K2"/>
    <mergeCell ref="L1:L2"/>
    <mergeCell ref="M1:M2"/>
    <mergeCell ref="N1:N2"/>
    <mergeCell ref="O1:Q1"/>
    <mergeCell ref="A1:A2"/>
    <mergeCell ref="B1:B2"/>
    <mergeCell ref="C1:F1"/>
    <mergeCell ref="G1:G2"/>
    <mergeCell ref="H1:H2"/>
    <mergeCell ref="I1:I2"/>
    <mergeCell ref="J1:J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