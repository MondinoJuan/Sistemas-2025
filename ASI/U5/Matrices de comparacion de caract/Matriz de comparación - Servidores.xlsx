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3"/>
    <sheet state="visible" name="Hoja2" sheetId="2" r:id="rId4"/>
    <sheet state="visible" name="Hoja3" sheetId="3" r:id="rId5"/>
  </sheets>
  <definedNames/>
  <calcPr/>
</workbook>
</file>

<file path=xl/sharedStrings.xml><?xml version="1.0" encoding="utf-8"?>
<sst xmlns="http://schemas.openxmlformats.org/spreadsheetml/2006/main" count="177" uniqueCount="79">
  <si>
    <t>Matriz de Valoración de Características</t>
  </si>
  <si>
    <t>Grupo/Característica</t>
  </si>
  <si>
    <t>Rango de Valores a considerar</t>
  </si>
  <si>
    <t>Dell PowerEdge T30 /1</t>
  </si>
  <si>
    <t>Dell PowerEdge T30 /2</t>
  </si>
  <si>
    <t>Dell Poweredge R230</t>
  </si>
  <si>
    <t>Dell Poweredge R540</t>
  </si>
  <si>
    <t>Hp Ml110 Gen10</t>
  </si>
  <si>
    <t>Hp Proliant Dl360g10</t>
  </si>
  <si>
    <t>Hp Proliant Ml30 G9</t>
  </si>
  <si>
    <t xml:space="preserve">Especificación </t>
  </si>
  <si>
    <t xml:space="preserve">Valor Asignado </t>
  </si>
  <si>
    <t>Procesador</t>
  </si>
  <si>
    <t>Velocidad (GHz)</t>
  </si>
  <si>
    <t>1.5 - 4</t>
  </si>
  <si>
    <t>Nucleos</t>
  </si>
  <si>
    <t>1-16</t>
  </si>
  <si>
    <t>Memoria</t>
  </si>
  <si>
    <t>Tamaño (Gb)</t>
  </si>
  <si>
    <t>8-16</t>
  </si>
  <si>
    <t>Capacidad máxima (Gb)</t>
  </si>
  <si>
    <t>8-1024</t>
  </si>
  <si>
    <t>Slots</t>
  </si>
  <si>
    <t>Sistema Operativo</t>
  </si>
  <si>
    <t>Sistema y versión(***)</t>
  </si>
  <si>
    <t>Gabinete</t>
  </si>
  <si>
    <t>Tipo (*)</t>
  </si>
  <si>
    <t>1-2</t>
  </si>
  <si>
    <t>Ranuras de expansión (PCI)</t>
  </si>
  <si>
    <t>Cantidad (**)</t>
  </si>
  <si>
    <t>1-5</t>
  </si>
  <si>
    <t>3x1 + 1x0,5</t>
  </si>
  <si>
    <t>2x1</t>
  </si>
  <si>
    <t>4x1</t>
  </si>
  <si>
    <t>5x1</t>
  </si>
  <si>
    <t>Almacenamiento</t>
  </si>
  <si>
    <t>Tiempo de Acceso (ms)</t>
  </si>
  <si>
    <t>0.05 - 3.00</t>
  </si>
  <si>
    <r>
      <t xml:space="preserve">1 </t>
    </r>
    <r>
      <rPr>
        <color rgb="FFFF0000"/>
      </rPr>
      <t>(3-2)</t>
    </r>
  </si>
  <si>
    <t>Velocidad de transferencia (Gbps)</t>
  </si>
  <si>
    <t>0-6</t>
  </si>
  <si>
    <t>Capacidad (Tb)</t>
  </si>
  <si>
    <t>0-4</t>
  </si>
  <si>
    <t>(*) Torre (1) RACK (2)</t>
  </si>
  <si>
    <t>https://dell.to/2TKQLnb</t>
  </si>
  <si>
    <t>https://dell.to/2FK28qF</t>
  </si>
  <si>
    <t>https://dell.to/2JYbKDl</t>
  </si>
  <si>
    <t>https://bit.ly/2JYcNmY</t>
  </si>
  <si>
    <t>https://bit.ly/2Vd6PQb</t>
  </si>
  <si>
    <t>https://bit.ly/2UswkzK</t>
  </si>
  <si>
    <t>(**) PCI (0.5) PCIx (0.5) PCIe (1)</t>
  </si>
  <si>
    <t>(***)  FreeDOS (1)</t>
  </si>
  <si>
    <t>Valores Porcentual de Característas</t>
  </si>
  <si>
    <t>Total Características</t>
  </si>
  <si>
    <t>Dell PowerEdge T30</t>
  </si>
  <si>
    <t>VA</t>
  </si>
  <si>
    <t>V%C</t>
  </si>
  <si>
    <t>Check</t>
  </si>
  <si>
    <t>Sistema y versión</t>
  </si>
  <si>
    <t>Tipo</t>
  </si>
  <si>
    <t>Cantidad</t>
  </si>
  <si>
    <t>VA=Valor Asignado</t>
  </si>
  <si>
    <t>V%C=Valor Porcentual Característica</t>
  </si>
  <si>
    <t>Matriz Ponderación de Caracteristicas</t>
  </si>
  <si>
    <t>Puntajes de Ponderación</t>
  </si>
  <si>
    <t>De la Características (%PC)</t>
  </si>
  <si>
    <t>Del Grupo (%PG)</t>
  </si>
  <si>
    <t>VPC</t>
  </si>
  <si>
    <t>VPG</t>
  </si>
  <si>
    <t>VPC Valor de Poneración de Caracteristica</t>
  </si>
  <si>
    <t>VPG Valor de Ponderación de Grupos</t>
  </si>
  <si>
    <t>Costo Inicial de Solución</t>
  </si>
  <si>
    <t>CIS= Ch+Cs+Cins+Ccon</t>
  </si>
  <si>
    <t>Ch= Costo de Hardware Requerido</t>
  </si>
  <si>
    <t>Cs= Costo de Sw Requerido</t>
  </si>
  <si>
    <t>Cins= Costo de los servicios iniciales para la instalación</t>
  </si>
  <si>
    <t>Ccon= Costo de los servicios iniciales para la configuración</t>
  </si>
  <si>
    <t>CA= Costo de Operación= Nro de incidentes promedio por año*Nro de años de la solución en funcionamiento*costo por hora por Servicio*Tiempo aprox en reparar falla</t>
  </si>
  <si>
    <t>CSU= Costo de Soporte a Usuarios= Nro de incidentes promedio por año*nro de años de la solución en funcionamiento*costo por hora de sopote*tiempo aproximado para dar soporte requerido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</si>
</sst>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9">
    <font>
      <sz val="11.0"/>
      <color rgb="FF000000"/>
      <name val="Calibri"/>
    </font>
    <font>
      <b/>
      <sz val="11.0"/>
      <color rgb="FF000000"/>
      <name val="Arial Narrow"/>
    </font>
    <font>
      <b/>
      <sz val="11.0"/>
      <color rgb="FF1F497D"/>
      <name val="Arial Narrow"/>
    </font>
    <font/>
    <font>
      <sz val="11.0"/>
      <color rgb="FF000000"/>
      <name val="Arial Narrow"/>
    </font>
    <font>
      <u/>
      <color rgb="FF0000FF"/>
    </font>
    <font>
      <sz val="11.0"/>
      <name val="Calibri"/>
    </font>
    <font>
      <b/>
      <sz val="11.0"/>
      <color rgb="FF000000"/>
      <name val="Calibri"/>
    </font>
    <font>
      <b/>
      <sz val="11.0"/>
      <color rgb="FF6AA84F"/>
      <name val="Calibri"/>
    </font>
  </fonts>
  <fills count="2">
    <fill>
      <patternFill patternType="none"/>
    </fill>
    <fill>
      <patternFill patternType="lightGray"/>
    </fill>
  </fills>
  <borders count="5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/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center" readingOrder="0" shrinkToFit="0" vertical="bottom" wrapText="1"/>
    </xf>
    <xf borderId="6" fillId="0" fontId="3" numFmtId="0" xfId="0" applyBorder="1" applyFont="1"/>
    <xf borderId="7" fillId="0" fontId="2" numFmtId="0" xfId="0" applyAlignment="1" applyBorder="1" applyFont="1">
      <alignment horizontal="center" readingOrder="0" shrinkToFit="0" vertical="bottom" wrapText="0"/>
    </xf>
    <xf borderId="8" fillId="0" fontId="3" numFmtId="0" xfId="0" applyBorder="1" applyFont="1"/>
    <xf borderId="9" fillId="0" fontId="2" numFmtId="0" xfId="0" applyAlignment="1" applyBorder="1" applyFont="1">
      <alignment horizontal="center" readingOrder="0" shrinkToFit="0" vertical="bottom" wrapText="1"/>
    </xf>
    <xf borderId="10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shrinkToFit="0" vertical="bottom" wrapText="0"/>
    </xf>
    <xf borderId="16" fillId="0" fontId="2" numFmtId="0" xfId="0" applyAlignment="1" applyBorder="1" applyFont="1">
      <alignment shrinkToFit="0" vertical="bottom" wrapText="0"/>
    </xf>
    <xf borderId="17" fillId="0" fontId="0" numFmtId="49" xfId="0" applyAlignment="1" applyBorder="1" applyFont="1" applyNumberFormat="1">
      <alignment horizontal="center" shrinkToFit="0" vertical="bottom" wrapText="0"/>
    </xf>
    <xf borderId="18" fillId="0" fontId="0" numFmtId="49" xfId="0" applyAlignment="1" applyBorder="1" applyFont="1" applyNumberFormat="1">
      <alignment horizontal="center" shrinkToFit="0" vertical="bottom" wrapText="0"/>
    </xf>
    <xf borderId="19" fillId="0" fontId="0" numFmtId="49" xfId="0" applyAlignment="1" applyBorder="1" applyFont="1" applyNumberFormat="1">
      <alignment horizontal="center" shrinkToFit="0" vertical="bottom" wrapText="0"/>
    </xf>
    <xf borderId="20" fillId="0" fontId="0" numFmtId="49" xfId="0" applyAlignment="1" applyBorder="1" applyFont="1" applyNumberFormat="1">
      <alignment horizontal="center" shrinkToFit="0" vertical="bottom" wrapText="0"/>
    </xf>
    <xf borderId="16" fillId="0" fontId="4" numFmtId="0" xfId="0" applyAlignment="1" applyBorder="1" applyFont="1">
      <alignment horizontal="right" shrinkToFit="0" vertical="bottom" wrapText="0"/>
    </xf>
    <xf borderId="17" fillId="0" fontId="0" numFmtId="49" xfId="0" applyAlignment="1" applyBorder="1" applyFont="1" applyNumberFormat="1">
      <alignment horizontal="center" readingOrder="0" shrinkToFit="0" vertical="bottom" wrapText="0"/>
    </xf>
    <xf borderId="18" fillId="0" fontId="0" numFmtId="164" xfId="0" applyAlignment="1" applyBorder="1" applyFont="1" applyNumberFormat="1">
      <alignment horizontal="center" readingOrder="0" shrinkToFit="0" vertical="bottom" wrapText="0"/>
    </xf>
    <xf borderId="19" fillId="0" fontId="0" numFmtId="164" xfId="0" applyAlignment="1" applyBorder="1" applyFont="1" applyNumberFormat="1">
      <alignment horizontal="center" readingOrder="0" shrinkToFit="0" vertical="bottom" wrapText="0"/>
    </xf>
    <xf borderId="20" fillId="0" fontId="0" numFmtId="0" xfId="0" applyAlignment="1" applyBorder="1" applyFont="1">
      <alignment horizontal="center" readingOrder="0" shrinkToFit="0" vertical="bottom" wrapText="0"/>
    </xf>
    <xf borderId="19" fillId="0" fontId="0" numFmtId="0" xfId="0" applyAlignment="1" applyBorder="1" applyFont="1">
      <alignment horizontal="center" readingOrder="0" shrinkToFit="0" vertical="bottom" wrapText="0"/>
    </xf>
    <xf borderId="20" fillId="0" fontId="0" numFmtId="164" xfId="0" applyAlignment="1" applyBorder="1" applyFont="1" applyNumberFormat="1">
      <alignment horizontal="center" readingOrder="0" shrinkToFit="0" vertical="bottom" wrapText="0"/>
    </xf>
    <xf borderId="10" fillId="0" fontId="4" numFmtId="0" xfId="0" applyAlignment="1" applyBorder="1" applyFont="1">
      <alignment horizontal="right" readingOrder="0" shrinkToFit="0" vertical="bottom" wrapText="0"/>
    </xf>
    <xf borderId="11" fillId="0" fontId="0" numFmtId="49" xfId="0" applyAlignment="1" applyBorder="1" applyFont="1" applyNumberFormat="1">
      <alignment horizontal="center" readingOrder="0" shrinkToFit="0" vertical="bottom" wrapText="0"/>
    </xf>
    <xf borderId="21" fillId="0" fontId="0" numFmtId="0" xfId="0" applyAlignment="1" applyBorder="1" applyFont="1">
      <alignment horizontal="center" readingOrder="0" shrinkToFit="0" vertical="bottom" wrapText="0"/>
    </xf>
    <xf borderId="22" fillId="0" fontId="0" numFmtId="0" xfId="0" applyAlignment="1" applyBorder="1" applyFont="1">
      <alignment horizontal="center" readingOrder="0" shrinkToFit="0" vertical="bottom" wrapText="0"/>
    </xf>
    <xf borderId="23" fillId="0" fontId="0" numFmtId="0" xfId="0" applyAlignment="1" applyBorder="1" applyFont="1">
      <alignment horizontal="center" readingOrder="0" shrinkToFit="0" vertical="bottom" wrapText="0"/>
    </xf>
    <xf borderId="24" fillId="0" fontId="0" numFmtId="49" xfId="0" applyAlignment="1" applyBorder="1" applyFont="1" applyNumberFormat="1">
      <alignment horizontal="center" shrinkToFit="0" vertical="bottom" wrapText="0"/>
    </xf>
    <xf borderId="25" fillId="0" fontId="0" numFmtId="0" xfId="0" applyAlignment="1" applyBorder="1" applyFont="1">
      <alignment horizontal="center" shrinkToFit="0" vertical="bottom" wrapText="0"/>
    </xf>
    <xf borderId="26" fillId="0" fontId="0" numFmtId="0" xfId="0" applyAlignment="1" applyBorder="1" applyFont="1">
      <alignment horizontal="center" shrinkToFit="0" vertical="bottom" wrapText="0"/>
    </xf>
    <xf borderId="27" fillId="0" fontId="0" numFmtId="0" xfId="0" applyAlignment="1" applyBorder="1" applyFont="1">
      <alignment horizontal="center" shrinkToFit="0" vertical="bottom" wrapText="0"/>
    </xf>
    <xf borderId="28" fillId="0" fontId="0" numFmtId="0" xfId="0" applyAlignment="1" applyBorder="1" applyFont="1">
      <alignment horizontal="center" shrinkToFit="0" vertical="bottom" wrapText="0"/>
    </xf>
    <xf borderId="16" fillId="0" fontId="4" numFmtId="0" xfId="0" applyAlignment="1" applyBorder="1" applyFont="1">
      <alignment horizontal="right" readingOrder="0" shrinkToFit="0" vertical="bottom" wrapText="0"/>
    </xf>
    <xf borderId="18" fillId="0" fontId="0" numFmtId="0" xfId="0" applyAlignment="1" applyBorder="1" applyFont="1">
      <alignment horizontal="center" readingOrder="0" shrinkToFit="0" vertical="bottom" wrapText="0"/>
    </xf>
    <xf borderId="29" fillId="0" fontId="0" numFmtId="0" xfId="0" applyAlignment="1" applyBorder="1" applyFont="1">
      <alignment horizontal="center" readingOrder="0" shrinkToFit="0" vertical="bottom" wrapText="0"/>
    </xf>
    <xf borderId="30" fillId="0" fontId="0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11" fillId="0" fontId="0" numFmtId="49" xfId="0" applyAlignment="1" applyBorder="1" applyFont="1" applyNumberFormat="1">
      <alignment horizontal="center" shrinkToFit="0" vertical="bottom" wrapText="0"/>
    </xf>
    <xf borderId="17" fillId="0" fontId="0" numFmtId="0" xfId="0" applyAlignment="1" applyBorder="1" applyFont="1">
      <alignment horizontal="center" readingOrder="0" shrinkToFit="0" vertical="bottom" wrapText="0"/>
    </xf>
    <xf borderId="31" fillId="0" fontId="4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9" fillId="0" fontId="1" numFmtId="0" xfId="0" applyAlignment="1" applyBorder="1" applyFont="1">
      <alignment shrinkToFit="0" vertical="bottom" wrapText="0"/>
    </xf>
    <xf borderId="32" fillId="0" fontId="1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readingOrder="0" shrinkToFit="0" vertical="bottom" wrapText="0"/>
    </xf>
    <xf borderId="33" fillId="0" fontId="3" numFmtId="0" xfId="0" applyBorder="1" applyFont="1"/>
    <xf borderId="1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34" fillId="0" fontId="3" numFmtId="0" xfId="0" applyBorder="1" applyFont="1"/>
    <xf borderId="26" fillId="0" fontId="1" numFmtId="49" xfId="0" applyAlignment="1" applyBorder="1" applyFont="1" applyNumberFormat="1">
      <alignment horizontal="center" shrinkToFit="0" vertical="bottom" wrapText="0"/>
    </xf>
    <xf borderId="13" fillId="0" fontId="1" numFmtId="49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vertical="bottom"/>
    </xf>
    <xf borderId="35" fillId="0" fontId="2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vertical="bottom"/>
    </xf>
    <xf borderId="36" fillId="0" fontId="2" numFmtId="0" xfId="0" applyAlignment="1" applyBorder="1" applyFont="1">
      <alignment horizontal="center" vertical="bottom"/>
    </xf>
    <xf borderId="37" fillId="0" fontId="3" numFmtId="0" xfId="0" applyBorder="1" applyFont="1"/>
    <xf borderId="36" fillId="0" fontId="2" numFmtId="0" xfId="0" applyAlignment="1" applyBorder="1" applyFont="1">
      <alignment horizontal="center" readingOrder="0" shrinkToFit="0" vertical="bottom" wrapText="1"/>
    </xf>
    <xf borderId="38" fillId="0" fontId="3" numFmtId="0" xfId="0" applyBorder="1" applyFont="1"/>
    <xf borderId="39" fillId="0" fontId="3" numFmtId="0" xfId="0" applyBorder="1" applyFont="1"/>
    <xf borderId="40" fillId="0" fontId="2" numFmtId="0" xfId="0" applyAlignment="1" applyBorder="1" applyFont="1">
      <alignment shrinkToFit="0" vertical="bottom" wrapText="0"/>
    </xf>
    <xf borderId="41" fillId="0" fontId="2" numFmtId="0" xfId="0" applyAlignment="1" applyBorder="1" applyFont="1">
      <alignment horizontal="center" vertical="bottom"/>
    </xf>
    <xf borderId="31" fillId="0" fontId="2" numFmtId="0" xfId="0" applyAlignment="1" applyBorder="1" applyFont="1">
      <alignment horizontal="center" vertical="bottom"/>
    </xf>
    <xf borderId="41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42" fillId="0" fontId="2" numFmtId="0" xfId="0" applyAlignment="1" applyBorder="1" applyFont="1">
      <alignment horizontal="center" vertical="bottom"/>
    </xf>
    <xf borderId="43" fillId="0" fontId="6" numFmtId="0" xfId="0" applyAlignment="1" applyBorder="1" applyFont="1">
      <alignment horizontal="center" vertical="bottom"/>
    </xf>
    <xf borderId="44" fillId="0" fontId="6" numFmtId="0" xfId="0" applyAlignment="1" applyBorder="1" applyFont="1">
      <alignment horizontal="center" vertical="bottom"/>
    </xf>
    <xf borderId="43" fillId="0" fontId="6" numFmtId="0" xfId="0" applyAlignment="1" applyBorder="1" applyFont="1">
      <alignment vertical="bottom"/>
    </xf>
    <xf borderId="45" fillId="0" fontId="6" numFmtId="0" xfId="0" applyAlignment="1" applyBorder="1" applyFont="1">
      <alignment vertical="bottom"/>
    </xf>
    <xf borderId="46" fillId="0" fontId="6" numFmtId="0" xfId="0" applyAlignment="1" applyBorder="1" applyFont="1">
      <alignment vertical="bottom"/>
    </xf>
    <xf borderId="43" fillId="0" fontId="0" numFmtId="9" xfId="0" applyAlignment="1" applyBorder="1" applyFont="1" applyNumberFormat="1">
      <alignment horizontal="center" readingOrder="0" vertical="bottom"/>
    </xf>
    <xf borderId="45" fillId="0" fontId="6" numFmtId="0" xfId="0" applyAlignment="1" applyBorder="1" applyFont="1">
      <alignment horizontal="center" vertical="bottom"/>
    </xf>
    <xf borderId="46" fillId="0" fontId="6" numFmtId="0" xfId="0" applyAlignment="1" applyBorder="1" applyFont="1">
      <alignment horizontal="center" vertical="bottom"/>
    </xf>
    <xf borderId="47" fillId="0" fontId="4" numFmtId="0" xfId="0" applyAlignment="1" applyBorder="1" applyFont="1">
      <alignment horizontal="right" readingOrder="0" shrinkToFit="0" vertical="bottom" wrapText="0"/>
    </xf>
    <xf borderId="3" fillId="0" fontId="0" numFmtId="9" xfId="0" applyAlignment="1" applyBorder="1" applyFont="1" applyNumberFormat="1">
      <alignment horizontal="center" vertical="bottom"/>
    </xf>
    <xf borderId="41" fillId="0" fontId="6" numFmtId="9" xfId="0" applyAlignment="1" applyBorder="1" applyFont="1" applyNumberFormat="1">
      <alignment horizontal="center" vertical="bottom"/>
    </xf>
    <xf borderId="31" fillId="0" fontId="6" numFmtId="9" xfId="0" applyAlignment="1" applyBorder="1" applyFont="1" applyNumberFormat="1">
      <alignment horizontal="center" readingOrder="0" vertical="bottom"/>
    </xf>
    <xf borderId="41" fillId="0" fontId="0" numFmtId="0" xfId="0" applyAlignment="1" applyBorder="1" applyFont="1">
      <alignment horizontal="center" vertical="bottom"/>
    </xf>
    <xf borderId="8" fillId="0" fontId="0" numFmtId="0" xfId="0" applyAlignment="1" applyBorder="1" applyFont="1">
      <alignment horizontal="right" vertical="bottom"/>
    </xf>
    <xf borderId="42" fillId="0" fontId="0" numFmtId="0" xfId="0" applyAlignment="1" applyBorder="1" applyFont="1">
      <alignment horizontal="right" vertical="bottom"/>
    </xf>
    <xf borderId="41" fillId="0" fontId="0" numFmtId="0" xfId="0" applyAlignment="1" applyBorder="1" applyFont="1">
      <alignment horizontal="right" vertical="bottom"/>
    </xf>
    <xf borderId="43" fillId="0" fontId="0" numFmtId="0" xfId="0" applyAlignment="1" applyBorder="1" applyFont="1">
      <alignment horizontal="center" vertical="bottom"/>
    </xf>
    <xf borderId="44" fillId="0" fontId="0" numFmtId="9" xfId="0" applyAlignment="1" applyBorder="1" applyFont="1" applyNumberFormat="1">
      <alignment horizontal="center" vertical="bottom"/>
    </xf>
    <xf borderId="46" fillId="0" fontId="0" numFmtId="0" xfId="0" applyAlignment="1" applyBorder="1" applyFont="1">
      <alignment horizontal="center" vertical="bottom"/>
    </xf>
    <xf borderId="41" fillId="0" fontId="0" numFmtId="9" xfId="0" applyAlignment="1" applyBorder="1" applyFont="1" applyNumberFormat="1">
      <alignment horizontal="center" vertical="bottom"/>
    </xf>
    <xf borderId="31" fillId="0" fontId="0" numFmtId="9" xfId="0" applyAlignment="1" applyBorder="1" applyFont="1" applyNumberFormat="1">
      <alignment horizontal="center" readingOrder="0" vertical="bottom"/>
    </xf>
    <xf borderId="8" fillId="0" fontId="0" numFmtId="0" xfId="0" applyAlignment="1" applyBorder="1" applyFont="1">
      <alignment horizontal="right" vertical="bottom"/>
    </xf>
    <xf borderId="43" fillId="0" fontId="0" numFmtId="9" xfId="0" applyAlignment="1" applyBorder="1" applyFont="1" applyNumberFormat="1">
      <alignment horizontal="center" vertical="bottom"/>
    </xf>
    <xf borderId="45" fillId="0" fontId="0" numFmtId="0" xfId="0" applyAlignment="1" applyBorder="1" applyFont="1">
      <alignment horizontal="center" vertical="bottom"/>
    </xf>
    <xf borderId="41" fillId="0" fontId="0" numFmtId="9" xfId="0" applyAlignment="1" applyBorder="1" applyFont="1" applyNumberFormat="1">
      <alignment horizontal="center" readingOrder="0" vertical="bottom"/>
    </xf>
    <xf borderId="48" fillId="0" fontId="4" numFmtId="0" xfId="0" applyAlignment="1" applyBorder="1" applyFont="1">
      <alignment horizontal="right" readingOrder="0" shrinkToFit="0" vertical="bottom" wrapText="0"/>
    </xf>
    <xf borderId="49" fillId="0" fontId="0" numFmtId="9" xfId="0" applyAlignment="1" applyBorder="1" applyFont="1" applyNumberFormat="1">
      <alignment horizontal="center" vertical="bottom"/>
    </xf>
    <xf borderId="50" fillId="0" fontId="0" numFmtId="9" xfId="0" applyAlignment="1" applyBorder="1" applyFont="1" applyNumberFormat="1">
      <alignment horizontal="center" readingOrder="0" vertical="bottom"/>
    </xf>
    <xf borderId="49" fillId="0" fontId="0" numFmtId="0" xfId="0" applyAlignment="1" applyBorder="1" applyFont="1">
      <alignment horizontal="center" vertical="bottom"/>
    </xf>
    <xf borderId="51" fillId="0" fontId="0" numFmtId="0" xfId="0" applyAlignment="1" applyBorder="1" applyFont="1">
      <alignment horizontal="right" vertical="bottom"/>
    </xf>
    <xf borderId="49" fillId="0" fontId="0" numFmtId="0" xfId="0" applyAlignment="1" applyBorder="1" applyFont="1">
      <alignment horizontal="right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3" numFmtId="9" xfId="0" applyAlignment="1" applyFont="1" applyNumberFormat="1">
      <alignment horizontal="center"/>
    </xf>
    <xf borderId="34" fillId="0" fontId="7" numFmtId="0" xfId="0" applyAlignment="1" applyBorder="1" applyFont="1">
      <alignment horizontal="center" vertical="bottom"/>
    </xf>
    <xf borderId="34" fillId="0" fontId="8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ll.to/2TKQLnb" TargetMode="External"/><Relationship Id="rId2" Type="http://schemas.openxmlformats.org/officeDocument/2006/relationships/hyperlink" Target="https://dell.to/2TKQLnb" TargetMode="External"/><Relationship Id="rId3" Type="http://schemas.openxmlformats.org/officeDocument/2006/relationships/hyperlink" Target="https://dell.to/2FK28qF" TargetMode="External"/><Relationship Id="rId4" Type="http://schemas.openxmlformats.org/officeDocument/2006/relationships/hyperlink" Target="https://dell.to/2JYbKDl" TargetMode="External"/><Relationship Id="rId5" Type="http://schemas.openxmlformats.org/officeDocument/2006/relationships/hyperlink" Target="https://bit.ly/2JYcNmY" TargetMode="External"/><Relationship Id="rId6" Type="http://schemas.openxmlformats.org/officeDocument/2006/relationships/hyperlink" Target="https://bit.ly/2Vd6PQb" TargetMode="External"/><Relationship Id="rId7" Type="http://schemas.openxmlformats.org/officeDocument/2006/relationships/hyperlink" Target="https://bit.ly/2UswkzK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25.71"/>
    <col customWidth="1" min="3" max="18" width="16.71"/>
    <col customWidth="1" min="19" max="21" width="14.71"/>
    <col customWidth="1" min="22" max="24" width="16.14"/>
    <col customWidth="1" min="25" max="26" width="10.0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7.25" customHeight="1">
      <c r="A2" s="3" t="s">
        <v>1</v>
      </c>
      <c r="B2" s="4" t="s">
        <v>2</v>
      </c>
      <c r="C2" s="5" t="s">
        <v>3</v>
      </c>
      <c r="D2" s="6"/>
      <c r="E2" s="7" t="s">
        <v>4</v>
      </c>
      <c r="F2" s="8"/>
      <c r="G2" s="9" t="s">
        <v>5</v>
      </c>
      <c r="H2" s="6"/>
      <c r="I2" s="9" t="s">
        <v>6</v>
      </c>
      <c r="J2" s="6"/>
      <c r="K2" s="9" t="s">
        <v>7</v>
      </c>
      <c r="L2" s="6"/>
      <c r="M2" s="9" t="s">
        <v>8</v>
      </c>
      <c r="N2" s="6"/>
      <c r="O2" s="9" t="s">
        <v>9</v>
      </c>
      <c r="P2" s="6"/>
    </row>
    <row r="3" ht="17.25" customHeight="1">
      <c r="A3" s="10"/>
      <c r="B3" s="11"/>
      <c r="C3" s="12" t="s">
        <v>10</v>
      </c>
      <c r="D3" s="13" t="s">
        <v>11</v>
      </c>
      <c r="E3" s="14" t="s">
        <v>10</v>
      </c>
      <c r="F3" s="13" t="s">
        <v>11</v>
      </c>
      <c r="G3" s="15" t="s">
        <v>10</v>
      </c>
      <c r="H3" s="13" t="s">
        <v>11</v>
      </c>
      <c r="I3" s="15" t="s">
        <v>10</v>
      </c>
      <c r="J3" s="13" t="s">
        <v>11</v>
      </c>
      <c r="K3" s="15" t="s">
        <v>10</v>
      </c>
      <c r="L3" s="13" t="s">
        <v>11</v>
      </c>
      <c r="M3" s="15" t="s">
        <v>10</v>
      </c>
      <c r="N3" s="13" t="s">
        <v>11</v>
      </c>
      <c r="O3" s="15" t="s">
        <v>10</v>
      </c>
      <c r="P3" s="13" t="s">
        <v>11</v>
      </c>
    </row>
    <row r="4" ht="16.5" customHeight="1">
      <c r="A4" s="16" t="s">
        <v>12</v>
      </c>
      <c r="B4" s="17"/>
      <c r="C4" s="18"/>
      <c r="D4" s="19"/>
      <c r="F4" s="19"/>
      <c r="G4" s="20"/>
      <c r="H4" s="19"/>
      <c r="I4" s="20"/>
      <c r="J4" s="19"/>
      <c r="K4" s="20"/>
      <c r="L4" s="19"/>
      <c r="M4" s="20"/>
      <c r="N4" s="19"/>
      <c r="O4" s="20"/>
      <c r="P4" s="19"/>
    </row>
    <row r="5" ht="16.5" customHeight="1">
      <c r="A5" s="21" t="s">
        <v>13</v>
      </c>
      <c r="B5" s="22" t="s">
        <v>14</v>
      </c>
      <c r="C5" s="23">
        <v>43527.0</v>
      </c>
      <c r="D5" s="24">
        <v>43527.0</v>
      </c>
      <c r="E5" s="23">
        <v>43527.0</v>
      </c>
      <c r="F5" s="24">
        <v>43527.0</v>
      </c>
      <c r="G5" s="25">
        <v>3.0</v>
      </c>
      <c r="H5" s="26">
        <v>3.0</v>
      </c>
      <c r="I5" s="27">
        <v>43467.0</v>
      </c>
      <c r="J5" s="24">
        <v>43467.0</v>
      </c>
      <c r="K5" s="27">
        <v>43647.0</v>
      </c>
      <c r="L5" s="24">
        <v>43647.0</v>
      </c>
      <c r="M5" s="27">
        <v>43647.0</v>
      </c>
      <c r="N5" s="24">
        <v>43647.0</v>
      </c>
      <c r="O5" s="25">
        <v>3.0</v>
      </c>
      <c r="P5" s="26">
        <v>3.0</v>
      </c>
    </row>
    <row r="6" ht="16.5" customHeight="1">
      <c r="A6" s="28" t="s">
        <v>15</v>
      </c>
      <c r="B6" s="29" t="s">
        <v>16</v>
      </c>
      <c r="C6" s="30">
        <v>4.0</v>
      </c>
      <c r="D6" s="31">
        <v>4.0</v>
      </c>
      <c r="E6" s="30">
        <v>4.0</v>
      </c>
      <c r="F6" s="31">
        <v>4.0</v>
      </c>
      <c r="G6" s="32">
        <v>4.0</v>
      </c>
      <c r="H6" s="31">
        <v>4.0</v>
      </c>
      <c r="I6" s="32">
        <v>8.0</v>
      </c>
      <c r="J6" s="31">
        <v>8.0</v>
      </c>
      <c r="K6" s="32">
        <v>8.0</v>
      </c>
      <c r="L6" s="31">
        <v>8.0</v>
      </c>
      <c r="M6" s="32">
        <v>6.0</v>
      </c>
      <c r="N6" s="31">
        <v>6.0</v>
      </c>
      <c r="O6" s="32">
        <v>4.0</v>
      </c>
      <c r="P6" s="31">
        <v>4.0</v>
      </c>
    </row>
    <row r="7" ht="16.5" customHeight="1">
      <c r="A7" s="3" t="s">
        <v>17</v>
      </c>
      <c r="B7" s="33"/>
      <c r="C7" s="34"/>
      <c r="D7" s="35"/>
      <c r="E7" s="36"/>
      <c r="F7" s="35"/>
      <c r="G7" s="37"/>
      <c r="H7" s="35"/>
      <c r="I7" s="37"/>
      <c r="J7" s="35"/>
      <c r="K7" s="37"/>
      <c r="L7" s="35"/>
      <c r="M7" s="37"/>
      <c r="N7" s="35"/>
      <c r="O7" s="37"/>
      <c r="P7" s="35"/>
    </row>
    <row r="8" ht="16.5" customHeight="1">
      <c r="A8" s="38" t="s">
        <v>18</v>
      </c>
      <c r="B8" s="22" t="s">
        <v>19</v>
      </c>
      <c r="C8" s="39">
        <v>8.0</v>
      </c>
      <c r="D8" s="26">
        <v>8.0</v>
      </c>
      <c r="E8" s="40">
        <v>16.0</v>
      </c>
      <c r="F8" s="26">
        <v>16.0</v>
      </c>
      <c r="G8" s="25">
        <v>8.0</v>
      </c>
      <c r="H8" s="26">
        <v>8.0</v>
      </c>
      <c r="I8" s="25">
        <v>16.0</v>
      </c>
      <c r="J8" s="26">
        <v>16.0</v>
      </c>
      <c r="K8" s="25">
        <v>16.0</v>
      </c>
      <c r="L8" s="26">
        <v>16.0</v>
      </c>
      <c r="M8" s="25">
        <v>8.0</v>
      </c>
      <c r="N8" s="26">
        <v>8.0</v>
      </c>
      <c r="O8" s="25">
        <v>8.0</v>
      </c>
      <c r="P8" s="26">
        <v>8.0</v>
      </c>
    </row>
    <row r="9" ht="16.5" customHeight="1">
      <c r="A9" s="38" t="s">
        <v>20</v>
      </c>
      <c r="B9" s="22" t="s">
        <v>21</v>
      </c>
      <c r="C9" s="39">
        <v>64.0</v>
      </c>
      <c r="D9" s="26">
        <v>64.0</v>
      </c>
      <c r="E9" s="40">
        <v>64.0</v>
      </c>
      <c r="F9" s="26">
        <v>64.0</v>
      </c>
      <c r="G9" s="25">
        <v>64.0</v>
      </c>
      <c r="H9" s="26">
        <v>64.0</v>
      </c>
      <c r="I9" s="25">
        <v>1024.0</v>
      </c>
      <c r="J9" s="26">
        <v>1024.0</v>
      </c>
      <c r="K9" s="25">
        <v>192.0</v>
      </c>
      <c r="L9" s="26">
        <v>192.0</v>
      </c>
      <c r="M9" s="25">
        <v>384.0</v>
      </c>
      <c r="N9" s="26">
        <v>384.0</v>
      </c>
      <c r="O9" s="25">
        <v>64.0</v>
      </c>
      <c r="P9" s="26">
        <v>64.0</v>
      </c>
    </row>
    <row r="10" ht="16.5" customHeight="1">
      <c r="A10" s="28" t="s">
        <v>22</v>
      </c>
      <c r="B10" s="29" t="s">
        <v>16</v>
      </c>
      <c r="C10" s="30">
        <v>4.0</v>
      </c>
      <c r="D10" s="31">
        <v>4.0</v>
      </c>
      <c r="E10" s="41">
        <v>4.0</v>
      </c>
      <c r="F10" s="31">
        <v>4.0</v>
      </c>
      <c r="G10" s="32">
        <v>4.0</v>
      </c>
      <c r="H10" s="31">
        <v>4.0</v>
      </c>
      <c r="I10" s="32">
        <v>16.0</v>
      </c>
      <c r="J10" s="31">
        <v>16.0</v>
      </c>
      <c r="K10" s="32">
        <v>6.0</v>
      </c>
      <c r="L10" s="31">
        <v>6.0</v>
      </c>
      <c r="M10" s="32">
        <v>12.0</v>
      </c>
      <c r="N10" s="31">
        <v>12.0</v>
      </c>
      <c r="O10" s="32">
        <v>4.0</v>
      </c>
      <c r="P10" s="31">
        <v>4.0</v>
      </c>
    </row>
    <row r="11" ht="16.5" customHeight="1">
      <c r="A11" s="42" t="s">
        <v>23</v>
      </c>
      <c r="B11" s="33"/>
      <c r="C11" s="34"/>
      <c r="D11" s="35"/>
      <c r="E11" s="36"/>
      <c r="F11" s="35"/>
      <c r="G11" s="37"/>
      <c r="H11" s="35"/>
      <c r="I11" s="37"/>
      <c r="J11" s="35"/>
      <c r="K11" s="37"/>
      <c r="L11" s="35"/>
      <c r="M11" s="37"/>
      <c r="N11" s="35"/>
      <c r="O11" s="37"/>
      <c r="P11" s="35"/>
    </row>
    <row r="12" ht="16.5" customHeight="1">
      <c r="A12" s="28" t="s">
        <v>24</v>
      </c>
      <c r="B12" s="43"/>
      <c r="C12" s="30">
        <v>1.0</v>
      </c>
      <c r="D12" s="31">
        <v>1.0</v>
      </c>
      <c r="E12" s="30">
        <v>1.0</v>
      </c>
      <c r="F12" s="31">
        <v>1.0</v>
      </c>
      <c r="G12" s="30">
        <v>1.0</v>
      </c>
      <c r="H12" s="31">
        <v>1.0</v>
      </c>
      <c r="I12" s="30">
        <v>1.0</v>
      </c>
      <c r="J12" s="31">
        <v>1.0</v>
      </c>
      <c r="K12" s="30">
        <v>1.0</v>
      </c>
      <c r="L12" s="31">
        <v>1.0</v>
      </c>
      <c r="M12" s="30">
        <v>1.0</v>
      </c>
      <c r="N12" s="31">
        <v>1.0</v>
      </c>
      <c r="O12" s="30">
        <v>1.0</v>
      </c>
      <c r="P12" s="31">
        <v>1.0</v>
      </c>
    </row>
    <row r="13" ht="16.5" customHeight="1">
      <c r="A13" s="42" t="s">
        <v>25</v>
      </c>
      <c r="B13" s="33"/>
      <c r="C13" s="34"/>
      <c r="D13" s="35"/>
      <c r="E13" s="36"/>
      <c r="F13" s="35"/>
      <c r="G13" s="37"/>
      <c r="H13" s="35"/>
      <c r="I13" s="37"/>
      <c r="J13" s="35"/>
      <c r="K13" s="37"/>
      <c r="L13" s="35"/>
      <c r="M13" s="37"/>
      <c r="N13" s="35"/>
      <c r="O13" s="37"/>
      <c r="P13" s="35"/>
    </row>
    <row r="14" ht="16.5" customHeight="1">
      <c r="A14" s="28" t="s">
        <v>26</v>
      </c>
      <c r="B14" s="29" t="s">
        <v>27</v>
      </c>
      <c r="C14" s="30">
        <v>1.0</v>
      </c>
      <c r="D14" s="31">
        <v>1.0</v>
      </c>
      <c r="E14" s="41">
        <v>1.0</v>
      </c>
      <c r="F14" s="31">
        <v>1.0</v>
      </c>
      <c r="G14" s="32">
        <v>2.0</v>
      </c>
      <c r="H14" s="31">
        <v>2.0</v>
      </c>
      <c r="I14" s="32">
        <v>2.0</v>
      </c>
      <c r="J14" s="31">
        <v>2.0</v>
      </c>
      <c r="K14" s="32">
        <v>1.0</v>
      </c>
      <c r="L14" s="31">
        <v>1.0</v>
      </c>
      <c r="M14" s="32">
        <v>2.0</v>
      </c>
      <c r="N14" s="31">
        <v>2.0</v>
      </c>
      <c r="O14" s="32">
        <v>1.0</v>
      </c>
      <c r="P14" s="31">
        <v>1.0</v>
      </c>
    </row>
    <row r="15" ht="16.5" customHeight="1">
      <c r="A15" s="42" t="s">
        <v>28</v>
      </c>
      <c r="B15" s="33"/>
      <c r="C15" s="34"/>
      <c r="D15" s="35"/>
      <c r="E15" s="36"/>
      <c r="F15" s="35"/>
      <c r="G15" s="37"/>
      <c r="H15" s="35"/>
      <c r="I15" s="37"/>
      <c r="J15" s="35"/>
      <c r="K15" s="37"/>
      <c r="L15" s="35"/>
      <c r="M15" s="37"/>
      <c r="N15" s="35"/>
      <c r="O15" s="37"/>
      <c r="P15" s="35"/>
    </row>
    <row r="16" ht="16.5" customHeight="1">
      <c r="A16" s="28" t="s">
        <v>29</v>
      </c>
      <c r="B16" s="29" t="s">
        <v>30</v>
      </c>
      <c r="C16" s="30" t="s">
        <v>31</v>
      </c>
      <c r="D16" s="31">
        <v>3.5</v>
      </c>
      <c r="E16" s="30" t="s">
        <v>31</v>
      </c>
      <c r="F16" s="31">
        <v>3.5</v>
      </c>
      <c r="G16" s="32" t="s">
        <v>32</v>
      </c>
      <c r="H16" s="31">
        <v>2.0</v>
      </c>
      <c r="I16" s="32" t="s">
        <v>33</v>
      </c>
      <c r="J16" s="31">
        <v>4.0</v>
      </c>
      <c r="K16" s="32" t="s">
        <v>34</v>
      </c>
      <c r="L16" s="31">
        <v>5.0</v>
      </c>
      <c r="M16" s="32" t="s">
        <v>32</v>
      </c>
      <c r="N16" s="31">
        <v>2.0</v>
      </c>
      <c r="O16" s="32" t="s">
        <v>33</v>
      </c>
      <c r="P16" s="31">
        <v>4.0</v>
      </c>
    </row>
    <row r="17" ht="16.5" customHeight="1">
      <c r="A17" s="42" t="s">
        <v>35</v>
      </c>
      <c r="B17" s="33"/>
      <c r="C17" s="34"/>
      <c r="D17" s="35"/>
      <c r="E17" s="36"/>
      <c r="F17" s="35"/>
      <c r="G17" s="37"/>
      <c r="H17" s="35"/>
      <c r="I17" s="37"/>
      <c r="J17" s="35"/>
      <c r="K17" s="37"/>
      <c r="L17" s="35"/>
      <c r="M17" s="37"/>
      <c r="N17" s="35"/>
      <c r="O17" s="37"/>
      <c r="P17" s="35"/>
    </row>
    <row r="18" ht="16.5" customHeight="1">
      <c r="A18" s="38" t="s">
        <v>36</v>
      </c>
      <c r="B18" s="44" t="s">
        <v>37</v>
      </c>
      <c r="C18" s="39">
        <v>2.0</v>
      </c>
      <c r="D18" s="26" t="s">
        <v>38</v>
      </c>
      <c r="E18" s="40">
        <v>1.5</v>
      </c>
      <c r="F18" s="26">
        <v>1.5</v>
      </c>
      <c r="G18" s="25">
        <v>0.8</v>
      </c>
      <c r="H18" s="26">
        <v>2.2</v>
      </c>
      <c r="I18" s="25">
        <v>0.05</v>
      </c>
      <c r="J18" s="26">
        <v>2.95</v>
      </c>
      <c r="K18" s="25">
        <v>0.5</v>
      </c>
      <c r="L18" s="26">
        <v>2.5</v>
      </c>
      <c r="M18" s="25">
        <v>0.1</v>
      </c>
      <c r="N18" s="26">
        <v>2.9</v>
      </c>
      <c r="O18" s="25">
        <v>0.05</v>
      </c>
      <c r="P18" s="26">
        <v>2.95</v>
      </c>
    </row>
    <row r="19" ht="16.5" customHeight="1">
      <c r="A19" s="38" t="s">
        <v>39</v>
      </c>
      <c r="B19" s="22" t="s">
        <v>40</v>
      </c>
      <c r="C19" s="39">
        <v>6.0</v>
      </c>
      <c r="D19" s="26">
        <v>6.0</v>
      </c>
      <c r="E19" s="40">
        <v>6.0</v>
      </c>
      <c r="F19" s="26">
        <v>6.0</v>
      </c>
      <c r="G19" s="25">
        <v>6.0</v>
      </c>
      <c r="H19" s="26">
        <v>6.0</v>
      </c>
      <c r="I19" s="25">
        <v>6.0</v>
      </c>
      <c r="J19" s="26">
        <v>6.0</v>
      </c>
      <c r="K19" s="25">
        <v>3.0</v>
      </c>
      <c r="L19" s="26">
        <v>3.0</v>
      </c>
      <c r="M19" s="25">
        <v>3.0</v>
      </c>
      <c r="N19" s="26">
        <v>3.0</v>
      </c>
      <c r="O19" s="25">
        <v>6.0</v>
      </c>
      <c r="P19" s="26">
        <v>6.0</v>
      </c>
    </row>
    <row r="20" ht="16.5" customHeight="1">
      <c r="A20" s="38" t="s">
        <v>41</v>
      </c>
      <c r="B20" s="22" t="s">
        <v>42</v>
      </c>
      <c r="C20" s="39">
        <v>1.0</v>
      </c>
      <c r="D20" s="26">
        <v>1.0</v>
      </c>
      <c r="E20" s="40">
        <v>1.0</v>
      </c>
      <c r="F20" s="26">
        <v>1.0</v>
      </c>
      <c r="G20" s="25">
        <v>2.0</v>
      </c>
      <c r="H20" s="26">
        <v>2.0</v>
      </c>
      <c r="I20" s="25">
        <v>2.0</v>
      </c>
      <c r="J20" s="26">
        <v>2.0</v>
      </c>
      <c r="K20" s="25">
        <v>4.0</v>
      </c>
      <c r="L20" s="26">
        <v>4.0</v>
      </c>
      <c r="M20" s="25">
        <v>2.0</v>
      </c>
      <c r="N20" s="26">
        <v>2.0</v>
      </c>
      <c r="O20" s="25">
        <v>1.0</v>
      </c>
      <c r="P20" s="26">
        <v>1.0</v>
      </c>
    </row>
    <row r="21" ht="16.5" customHeight="1">
      <c r="A21" s="45" t="s">
        <v>22</v>
      </c>
      <c r="B21" s="29" t="s">
        <v>16</v>
      </c>
      <c r="C21" s="30">
        <v>6.0</v>
      </c>
      <c r="D21" s="31">
        <v>6.0</v>
      </c>
      <c r="E21" s="30">
        <v>6.0</v>
      </c>
      <c r="F21" s="31">
        <v>6.0</v>
      </c>
      <c r="G21" s="32">
        <v>10.0</v>
      </c>
      <c r="H21" s="31">
        <v>10.0</v>
      </c>
      <c r="I21" s="32">
        <v>8.0</v>
      </c>
      <c r="J21" s="31">
        <v>8.0</v>
      </c>
      <c r="K21" s="32">
        <v>8.0</v>
      </c>
      <c r="L21" s="31">
        <v>8.0</v>
      </c>
      <c r="M21" s="32">
        <v>14.0</v>
      </c>
      <c r="N21" s="31">
        <v>14.0</v>
      </c>
      <c r="O21" s="32">
        <v>4.0</v>
      </c>
      <c r="P21" s="31">
        <v>4.0</v>
      </c>
    </row>
    <row r="22">
      <c r="A22" s="46"/>
      <c r="C22" s="46"/>
      <c r="E22" s="46"/>
      <c r="G22" s="46"/>
      <c r="I22" s="46"/>
      <c r="K22" s="46"/>
      <c r="M22" s="46"/>
      <c r="O22" s="46"/>
    </row>
    <row r="23">
      <c r="A23" s="46" t="s">
        <v>43</v>
      </c>
      <c r="C23" s="47" t="s">
        <v>44</v>
      </c>
      <c r="E23" s="47" t="s">
        <v>44</v>
      </c>
      <c r="G23" s="47" t="s">
        <v>45</v>
      </c>
      <c r="I23" s="47" t="s">
        <v>46</v>
      </c>
      <c r="K23" s="47" t="s">
        <v>47</v>
      </c>
      <c r="M23" s="47" t="s">
        <v>48</v>
      </c>
      <c r="O23" s="47" t="s">
        <v>49</v>
      </c>
    </row>
    <row r="24">
      <c r="A24" s="46" t="s">
        <v>50</v>
      </c>
    </row>
    <row r="25">
      <c r="A25" s="46" t="s">
        <v>51</v>
      </c>
    </row>
    <row r="26" ht="15.75" customHeight="1"/>
    <row r="27" ht="17.25" customHeight="1">
      <c r="A27" s="1" t="s">
        <v>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48"/>
      <c r="Q27" s="49" t="s">
        <v>53</v>
      </c>
    </row>
    <row r="28" ht="17.25" customHeight="1">
      <c r="A28" s="3" t="s">
        <v>1</v>
      </c>
      <c r="B28" s="4"/>
      <c r="C28" s="5" t="s">
        <v>54</v>
      </c>
      <c r="D28" s="6"/>
      <c r="E28" s="50" t="s">
        <v>54</v>
      </c>
      <c r="F28" s="8"/>
      <c r="G28" s="9" t="s">
        <v>5</v>
      </c>
      <c r="H28" s="6"/>
      <c r="I28" s="9" t="s">
        <v>6</v>
      </c>
      <c r="J28" s="6"/>
      <c r="K28" s="9" t="s">
        <v>7</v>
      </c>
      <c r="L28" s="6"/>
      <c r="M28" s="9" t="s">
        <v>8</v>
      </c>
      <c r="N28" s="6"/>
      <c r="O28" s="9" t="s">
        <v>9</v>
      </c>
      <c r="P28" s="6"/>
      <c r="Q28" s="51"/>
    </row>
    <row r="29" ht="17.25" customHeight="1">
      <c r="A29" s="10"/>
      <c r="B29" s="11"/>
      <c r="C29" s="52" t="s">
        <v>55</v>
      </c>
      <c r="D29" s="53" t="s">
        <v>56</v>
      </c>
      <c r="E29" s="52" t="s">
        <v>55</v>
      </c>
      <c r="F29" s="53" t="s">
        <v>56</v>
      </c>
      <c r="G29" s="52" t="s">
        <v>55</v>
      </c>
      <c r="H29" s="53" t="s">
        <v>56</v>
      </c>
      <c r="I29" s="52" t="s">
        <v>55</v>
      </c>
      <c r="J29" s="53" t="s">
        <v>56</v>
      </c>
      <c r="K29" s="52" t="s">
        <v>55</v>
      </c>
      <c r="L29" s="53" t="s">
        <v>56</v>
      </c>
      <c r="M29" s="52" t="s">
        <v>55</v>
      </c>
      <c r="N29" s="53" t="s">
        <v>56</v>
      </c>
      <c r="O29" s="52" t="s">
        <v>55</v>
      </c>
      <c r="P29" s="53" t="s">
        <v>56</v>
      </c>
      <c r="Q29" s="54"/>
      <c r="R29" s="46" t="s">
        <v>57</v>
      </c>
    </row>
    <row r="30" ht="16.5" customHeight="1">
      <c r="A30" s="16" t="s">
        <v>12</v>
      </c>
      <c r="B30" s="17"/>
      <c r="C30" s="18"/>
      <c r="D30" s="19"/>
      <c r="F30" s="19"/>
      <c r="G30" s="20"/>
      <c r="H30" s="19"/>
      <c r="I30" s="20"/>
      <c r="J30" s="19"/>
      <c r="K30" s="20"/>
      <c r="L30" s="19"/>
      <c r="M30" s="20"/>
      <c r="N30" s="19"/>
      <c r="O30" s="20"/>
      <c r="P30" s="19"/>
      <c r="Q30" s="55"/>
    </row>
    <row r="31" ht="16.5" customHeight="1">
      <c r="A31" s="21" t="s">
        <v>13</v>
      </c>
      <c r="B31" s="22"/>
      <c r="C31" s="39">
        <v>3.3</v>
      </c>
      <c r="D31" s="26">
        <f t="shared" ref="D31:D32" si="1">(C31*100)/($Q31)</f>
        <v>18.2320442</v>
      </c>
      <c r="E31" s="39">
        <v>3.3</v>
      </c>
      <c r="F31" s="26">
        <f t="shared" ref="F31:F32" si="2">(E31*100)/($Q31)</f>
        <v>18.2320442</v>
      </c>
      <c r="G31" s="39">
        <v>3.0</v>
      </c>
      <c r="H31" s="26">
        <f t="shared" ref="H31:H32" si="3">(G31*100)/($Q31)</f>
        <v>16.57458564</v>
      </c>
      <c r="I31" s="39">
        <v>2.1</v>
      </c>
      <c r="J31" s="26">
        <f t="shared" ref="J31:J32" si="4">(I31*100)/($Q31)</f>
        <v>11.60220994</v>
      </c>
      <c r="K31" s="39">
        <v>1.7</v>
      </c>
      <c r="L31" s="26">
        <f t="shared" ref="L31:L32" si="5">(K31*100)/($Q31)</f>
        <v>9.392265193</v>
      </c>
      <c r="M31" s="39">
        <v>1.7</v>
      </c>
      <c r="N31" s="26">
        <f t="shared" ref="N31:N32" si="6">(M31*100)/($Q31)</f>
        <v>9.392265193</v>
      </c>
      <c r="O31" s="39">
        <v>3.0</v>
      </c>
      <c r="P31" s="26">
        <f t="shared" ref="P31:P32" si="7">(O31*100)/($Q31)</f>
        <v>16.57458564</v>
      </c>
      <c r="Q31" s="55">
        <f t="shared" ref="Q31:Q32" si="8">SUM(O31,M31,K31,I31,G31,E31,C31,)</f>
        <v>18.1</v>
      </c>
      <c r="R31">
        <f t="shared" ref="R31:R43" si="9">SUM(P31,N31,L31,J31,H31,F31,D31)</f>
        <v>100</v>
      </c>
    </row>
    <row r="32" ht="16.5" customHeight="1">
      <c r="A32" s="28" t="s">
        <v>15</v>
      </c>
      <c r="B32" s="29"/>
      <c r="C32" s="30">
        <f>D6</f>
        <v>4</v>
      </c>
      <c r="D32" s="31">
        <f t="shared" si="1"/>
        <v>10.52631579</v>
      </c>
      <c r="E32" s="30">
        <f>F6</f>
        <v>4</v>
      </c>
      <c r="F32" s="31">
        <f t="shared" si="2"/>
        <v>10.52631579</v>
      </c>
      <c r="G32" s="30">
        <f>H6</f>
        <v>4</v>
      </c>
      <c r="H32" s="31">
        <f t="shared" si="3"/>
        <v>10.52631579</v>
      </c>
      <c r="I32" s="30">
        <f>J6</f>
        <v>8</v>
      </c>
      <c r="J32" s="31">
        <f t="shared" si="4"/>
        <v>21.05263158</v>
      </c>
      <c r="K32" s="30">
        <f>L6</f>
        <v>8</v>
      </c>
      <c r="L32" s="31">
        <f t="shared" si="5"/>
        <v>21.05263158</v>
      </c>
      <c r="M32" s="30">
        <f>N6</f>
        <v>6</v>
      </c>
      <c r="N32" s="31">
        <f t="shared" si="6"/>
        <v>15.78947368</v>
      </c>
      <c r="O32" s="30">
        <f>P6</f>
        <v>4</v>
      </c>
      <c r="P32" s="31">
        <f t="shared" si="7"/>
        <v>10.52631579</v>
      </c>
      <c r="Q32" s="56">
        <f t="shared" si="8"/>
        <v>38</v>
      </c>
      <c r="R32">
        <f t="shared" si="9"/>
        <v>100</v>
      </c>
    </row>
    <row r="33" ht="16.5" customHeight="1">
      <c r="A33" s="3" t="s">
        <v>17</v>
      </c>
      <c r="B33" s="33"/>
      <c r="C33" s="34"/>
      <c r="D33" s="35"/>
      <c r="E33" s="34"/>
      <c r="F33" s="35"/>
      <c r="G33" s="34"/>
      <c r="H33" s="35"/>
      <c r="I33" s="34"/>
      <c r="J33" s="35"/>
      <c r="K33" s="34"/>
      <c r="L33" s="35"/>
      <c r="M33" s="34"/>
      <c r="N33" s="35"/>
      <c r="O33" s="34"/>
      <c r="P33" s="35"/>
      <c r="Q33" s="55"/>
      <c r="R33">
        <f t="shared" si="9"/>
        <v>0</v>
      </c>
    </row>
    <row r="34" ht="16.5" customHeight="1">
      <c r="A34" s="38" t="s">
        <v>18</v>
      </c>
      <c r="B34" s="22"/>
      <c r="C34" s="39">
        <f t="shared" ref="C34:C36" si="10">D8</f>
        <v>8</v>
      </c>
      <c r="D34" s="26">
        <f t="shared" ref="D34:D36" si="11">(C34*100)/($Q34)</f>
        <v>10</v>
      </c>
      <c r="E34" s="39">
        <f t="shared" ref="E34:E36" si="12">F8</f>
        <v>16</v>
      </c>
      <c r="F34" s="26">
        <f t="shared" ref="F34:F36" si="13">(E34*100)/($Q34)</f>
        <v>20</v>
      </c>
      <c r="G34" s="39">
        <f t="shared" ref="G34:G36" si="14">H8</f>
        <v>8</v>
      </c>
      <c r="H34" s="26">
        <f t="shared" ref="H34:H36" si="15">(G34*100)/($Q34)</f>
        <v>10</v>
      </c>
      <c r="I34" s="39">
        <f t="shared" ref="I34:I36" si="16">J8</f>
        <v>16</v>
      </c>
      <c r="J34" s="26">
        <f t="shared" ref="J34:J36" si="17">(I34*100)/($Q34)</f>
        <v>20</v>
      </c>
      <c r="K34" s="39">
        <f t="shared" ref="K34:K36" si="18">L8</f>
        <v>16</v>
      </c>
      <c r="L34" s="26">
        <f t="shared" ref="L34:L36" si="19">(K34*100)/($Q34)</f>
        <v>20</v>
      </c>
      <c r="M34" s="39">
        <f t="shared" ref="M34:M36" si="20">N8</f>
        <v>8</v>
      </c>
      <c r="N34" s="26">
        <f t="shared" ref="N34:N36" si="21">(M34*100)/($Q34)</f>
        <v>10</v>
      </c>
      <c r="O34" s="39">
        <f t="shared" ref="O34:O36" si="22">P8</f>
        <v>8</v>
      </c>
      <c r="P34" s="26">
        <f t="shared" ref="P34:P36" si="23">(O34*100)/($Q34)</f>
        <v>10</v>
      </c>
      <c r="Q34" s="55">
        <f t="shared" ref="Q34:Q36" si="24">SUM(O34,M34,K34,I34,G34,E34,C34,)</f>
        <v>80</v>
      </c>
      <c r="R34">
        <f t="shared" si="9"/>
        <v>100</v>
      </c>
    </row>
    <row r="35" ht="15.75" customHeight="1">
      <c r="A35" s="38" t="s">
        <v>20</v>
      </c>
      <c r="B35" s="22"/>
      <c r="C35" s="39">
        <f t="shared" si="10"/>
        <v>64</v>
      </c>
      <c r="D35" s="26">
        <f t="shared" si="11"/>
        <v>3.448275862</v>
      </c>
      <c r="E35" s="39">
        <f t="shared" si="12"/>
        <v>64</v>
      </c>
      <c r="F35" s="26">
        <f t="shared" si="13"/>
        <v>3.448275862</v>
      </c>
      <c r="G35" s="39">
        <f t="shared" si="14"/>
        <v>64</v>
      </c>
      <c r="H35" s="26">
        <f t="shared" si="15"/>
        <v>3.448275862</v>
      </c>
      <c r="I35" s="39">
        <f t="shared" si="16"/>
        <v>1024</v>
      </c>
      <c r="J35" s="26">
        <f t="shared" si="17"/>
        <v>55.17241379</v>
      </c>
      <c r="K35" s="39">
        <f t="shared" si="18"/>
        <v>192</v>
      </c>
      <c r="L35" s="26">
        <f t="shared" si="19"/>
        <v>10.34482759</v>
      </c>
      <c r="M35" s="39">
        <f t="shared" si="20"/>
        <v>384</v>
      </c>
      <c r="N35" s="26">
        <f t="shared" si="21"/>
        <v>20.68965517</v>
      </c>
      <c r="O35" s="39">
        <f t="shared" si="22"/>
        <v>64</v>
      </c>
      <c r="P35" s="26">
        <f t="shared" si="23"/>
        <v>3.448275862</v>
      </c>
      <c r="Q35" s="55">
        <f t="shared" si="24"/>
        <v>1856</v>
      </c>
      <c r="R35">
        <f t="shared" si="9"/>
        <v>100</v>
      </c>
    </row>
    <row r="36" ht="16.5" customHeight="1">
      <c r="A36" s="28" t="s">
        <v>22</v>
      </c>
      <c r="B36" s="29"/>
      <c r="C36" s="30">
        <f t="shared" si="10"/>
        <v>4</v>
      </c>
      <c r="D36" s="31">
        <f t="shared" si="11"/>
        <v>8</v>
      </c>
      <c r="E36" s="30">
        <f t="shared" si="12"/>
        <v>4</v>
      </c>
      <c r="F36" s="31">
        <f t="shared" si="13"/>
        <v>8</v>
      </c>
      <c r="G36" s="30">
        <f t="shared" si="14"/>
        <v>4</v>
      </c>
      <c r="H36" s="31">
        <f t="shared" si="15"/>
        <v>8</v>
      </c>
      <c r="I36" s="30">
        <f t="shared" si="16"/>
        <v>16</v>
      </c>
      <c r="J36" s="31">
        <f t="shared" si="17"/>
        <v>32</v>
      </c>
      <c r="K36" s="30">
        <f t="shared" si="18"/>
        <v>6</v>
      </c>
      <c r="L36" s="31">
        <f t="shared" si="19"/>
        <v>12</v>
      </c>
      <c r="M36" s="30">
        <f t="shared" si="20"/>
        <v>12</v>
      </c>
      <c r="N36" s="31">
        <f t="shared" si="21"/>
        <v>24</v>
      </c>
      <c r="O36" s="30">
        <f t="shared" si="22"/>
        <v>4</v>
      </c>
      <c r="P36" s="31">
        <f t="shared" si="23"/>
        <v>8</v>
      </c>
      <c r="Q36" s="55">
        <f t="shared" si="24"/>
        <v>50</v>
      </c>
      <c r="R36">
        <f t="shared" si="9"/>
        <v>100</v>
      </c>
    </row>
    <row r="37" ht="16.5" customHeight="1">
      <c r="A37" s="42" t="s">
        <v>23</v>
      </c>
      <c r="B37" s="33"/>
      <c r="C37" s="34"/>
      <c r="D37" s="35"/>
      <c r="E37" s="34"/>
      <c r="F37" s="35"/>
      <c r="G37" s="34"/>
      <c r="H37" s="35"/>
      <c r="I37" s="34"/>
      <c r="J37" s="35"/>
      <c r="K37" s="34"/>
      <c r="L37" s="35"/>
      <c r="M37" s="34"/>
      <c r="N37" s="35"/>
      <c r="O37" s="34"/>
      <c r="P37" s="35"/>
      <c r="Q37" s="55"/>
      <c r="R37">
        <f t="shared" si="9"/>
        <v>0</v>
      </c>
    </row>
    <row r="38" ht="15.75" customHeight="1">
      <c r="A38" s="28" t="s">
        <v>58</v>
      </c>
      <c r="B38" s="43"/>
      <c r="C38" s="30">
        <f>D12</f>
        <v>1</v>
      </c>
      <c r="D38" s="31">
        <v>1.0</v>
      </c>
      <c r="E38" s="30">
        <f>F12</f>
        <v>1</v>
      </c>
      <c r="F38" s="31">
        <v>1.0</v>
      </c>
      <c r="G38" s="30">
        <f>H12</f>
        <v>1</v>
      </c>
      <c r="H38" s="31">
        <v>1.0</v>
      </c>
      <c r="I38" s="30">
        <f>J12</f>
        <v>1</v>
      </c>
      <c r="J38" s="31">
        <v>1.0</v>
      </c>
      <c r="K38" s="30">
        <v>1.0</v>
      </c>
      <c r="L38" s="31">
        <v>1.0</v>
      </c>
      <c r="M38" s="30">
        <f>N12</f>
        <v>1</v>
      </c>
      <c r="N38" s="31">
        <v>1.0</v>
      </c>
      <c r="O38" s="30">
        <f>P12</f>
        <v>1</v>
      </c>
      <c r="P38" s="31">
        <v>1.0</v>
      </c>
      <c r="Q38" s="56">
        <f>SUM(O38,M38,K38,I38,G38,E38,C38,)</f>
        <v>7</v>
      </c>
      <c r="R38">
        <f t="shared" si="9"/>
        <v>7</v>
      </c>
    </row>
    <row r="39" ht="17.25" customHeight="1">
      <c r="A39" s="42" t="s">
        <v>25</v>
      </c>
      <c r="B39" s="33"/>
      <c r="C39" s="34"/>
      <c r="D39" s="35"/>
      <c r="E39" s="34"/>
      <c r="F39" s="35"/>
      <c r="G39" s="34"/>
      <c r="H39" s="35"/>
      <c r="I39" s="34"/>
      <c r="J39" s="35"/>
      <c r="K39" s="34"/>
      <c r="L39" s="35"/>
      <c r="M39" s="34"/>
      <c r="N39" s="35"/>
      <c r="O39" s="34"/>
      <c r="P39" s="35"/>
      <c r="Q39" s="55"/>
      <c r="R39">
        <f t="shared" si="9"/>
        <v>0</v>
      </c>
    </row>
    <row r="40" ht="17.25" customHeight="1">
      <c r="A40" s="28" t="s">
        <v>59</v>
      </c>
      <c r="B40" s="43"/>
      <c r="C40" s="30">
        <f>D14</f>
        <v>1</v>
      </c>
      <c r="D40" s="31">
        <f>(C40*100)/($Q40)</f>
        <v>10</v>
      </c>
      <c r="E40" s="30">
        <f>F14</f>
        <v>1</v>
      </c>
      <c r="F40" s="31">
        <f>(E40*100)/($Q40)</f>
        <v>10</v>
      </c>
      <c r="G40" s="30">
        <f>H14</f>
        <v>2</v>
      </c>
      <c r="H40" s="31">
        <f>(G40*100)/($Q40)</f>
        <v>20</v>
      </c>
      <c r="I40" s="30">
        <f>J14</f>
        <v>2</v>
      </c>
      <c r="J40" s="31">
        <f>(I40*100)/($Q40)</f>
        <v>20</v>
      </c>
      <c r="K40" s="30">
        <f>L14</f>
        <v>1</v>
      </c>
      <c r="L40" s="31">
        <f>(K40*100)/($Q40)</f>
        <v>10</v>
      </c>
      <c r="M40" s="30">
        <f>N14</f>
        <v>2</v>
      </c>
      <c r="N40" s="31">
        <f>(M40*100)/($Q40)</f>
        <v>20</v>
      </c>
      <c r="O40" s="30">
        <f>P14</f>
        <v>1</v>
      </c>
      <c r="P40" s="31">
        <f>(O40*100)/($Q40)</f>
        <v>10</v>
      </c>
      <c r="Q40" s="56">
        <f>SUM(O40,M40,K40,I40,G40,E40,C40,)</f>
        <v>10</v>
      </c>
      <c r="R40">
        <f t="shared" si="9"/>
        <v>100</v>
      </c>
    </row>
    <row r="41" ht="17.25" customHeight="1">
      <c r="A41" s="42" t="s">
        <v>28</v>
      </c>
      <c r="B41" s="33"/>
      <c r="C41" s="34"/>
      <c r="D41" s="35"/>
      <c r="E41" s="34"/>
      <c r="F41" s="35"/>
      <c r="G41" s="34"/>
      <c r="H41" s="35"/>
      <c r="I41" s="34"/>
      <c r="J41" s="35"/>
      <c r="K41" s="34"/>
      <c r="L41" s="35"/>
      <c r="M41" s="34"/>
      <c r="N41" s="35"/>
      <c r="O41" s="34"/>
      <c r="P41" s="35"/>
      <c r="Q41" s="55"/>
      <c r="R41">
        <f t="shared" si="9"/>
        <v>0</v>
      </c>
    </row>
    <row r="42" ht="16.5" customHeight="1">
      <c r="A42" s="28" t="s">
        <v>60</v>
      </c>
      <c r="B42" s="29"/>
      <c r="C42" s="30">
        <f>D16</f>
        <v>3.5</v>
      </c>
      <c r="D42" s="31">
        <f>(C42*100)/($Q42)</f>
        <v>14.58333333</v>
      </c>
      <c r="E42" s="30">
        <f>F16</f>
        <v>3.5</v>
      </c>
      <c r="F42" s="31">
        <f>(E42*100)/($Q42)</f>
        <v>14.58333333</v>
      </c>
      <c r="G42" s="30">
        <f>H16</f>
        <v>2</v>
      </c>
      <c r="H42" s="31">
        <f>(G42*100)/($Q42)</f>
        <v>8.333333333</v>
      </c>
      <c r="I42" s="30">
        <f>J16</f>
        <v>4</v>
      </c>
      <c r="J42" s="31">
        <f>(I42*100)/($Q42)</f>
        <v>16.66666667</v>
      </c>
      <c r="K42" s="30">
        <f>L16</f>
        <v>5</v>
      </c>
      <c r="L42" s="31">
        <f>(K42*100)/($Q42)</f>
        <v>20.83333333</v>
      </c>
      <c r="M42" s="30">
        <f>N16</f>
        <v>2</v>
      </c>
      <c r="N42" s="31">
        <f>(M42*100)/($Q42)</f>
        <v>8.333333333</v>
      </c>
      <c r="O42" s="30">
        <f>P16</f>
        <v>4</v>
      </c>
      <c r="P42" s="31">
        <f>(O42*100)/($Q42)</f>
        <v>16.66666667</v>
      </c>
      <c r="Q42" s="56">
        <f>SUM(O42,M42,K42,I42,G42,E42,C42,)</f>
        <v>24</v>
      </c>
      <c r="R42">
        <f t="shared" si="9"/>
        <v>100</v>
      </c>
    </row>
    <row r="43" ht="16.5" customHeight="1">
      <c r="A43" s="42" t="s">
        <v>35</v>
      </c>
      <c r="B43" s="33"/>
      <c r="C43" s="34"/>
      <c r="D43" s="35"/>
      <c r="E43" s="34"/>
      <c r="F43" s="35"/>
      <c r="G43" s="34"/>
      <c r="H43" s="35"/>
      <c r="I43" s="34"/>
      <c r="J43" s="35"/>
      <c r="K43" s="34"/>
      <c r="L43" s="35"/>
      <c r="M43" s="34"/>
      <c r="N43" s="35"/>
      <c r="O43" s="34"/>
      <c r="P43" s="35"/>
      <c r="Q43" s="55"/>
      <c r="R43">
        <f t="shared" si="9"/>
        <v>0</v>
      </c>
    </row>
    <row r="44" ht="16.5" customHeight="1">
      <c r="A44" s="38" t="s">
        <v>36</v>
      </c>
      <c r="B44" s="22"/>
      <c r="C44" s="39" t="str">
        <f t="shared" ref="C44:C47" si="25">D18</f>
        <v>1 (3-2)</v>
      </c>
      <c r="D44" s="26" t="str">
        <f t="shared" ref="D44:D47" si="26">(C44*100)/($Q44)</f>
        <v>#VALUE!</v>
      </c>
      <c r="E44" s="39">
        <f t="shared" ref="E44:E47" si="27">F18</f>
        <v>1.5</v>
      </c>
      <c r="F44" s="26">
        <f t="shared" ref="F44:F47" si="28">(E44*100)/($Q44)</f>
        <v>10</v>
      </c>
      <c r="G44" s="39">
        <f t="shared" ref="G44:G47" si="29">H18</f>
        <v>2.2</v>
      </c>
      <c r="H44" s="26">
        <f t="shared" ref="H44:H47" si="30">(G44*100)/($Q44)</f>
        <v>14.66666667</v>
      </c>
      <c r="I44" s="39">
        <f t="shared" ref="I44:I47" si="31">J18</f>
        <v>2.95</v>
      </c>
      <c r="J44" s="26">
        <f t="shared" ref="J44:J47" si="32">(I44*100)/($Q44)</f>
        <v>19.66666667</v>
      </c>
      <c r="K44" s="39">
        <f t="shared" ref="K44:K47" si="33">L18</f>
        <v>2.5</v>
      </c>
      <c r="L44" s="26">
        <f t="shared" ref="L44:L47" si="34">(K44*100)/($Q44)</f>
        <v>16.66666667</v>
      </c>
      <c r="M44" s="39">
        <f t="shared" ref="M44:M47" si="35">N18</f>
        <v>2.9</v>
      </c>
      <c r="N44" s="26">
        <f t="shared" ref="N44:N47" si="36">(M44*100)/($Q44)</f>
        <v>19.33333333</v>
      </c>
      <c r="O44" s="39">
        <f t="shared" ref="O44:O47" si="37">P18</f>
        <v>2.95</v>
      </c>
      <c r="P44" s="26">
        <f t="shared" ref="P44:P47" si="38">(O44*100)/($Q44)</f>
        <v>19.66666667</v>
      </c>
      <c r="Q44" s="55">
        <f t="shared" ref="Q44:Q47" si="39">SUM(O44,M44,K44,I44,G44,E44,C44,)</f>
        <v>15</v>
      </c>
    </row>
    <row r="45" ht="17.25" customHeight="1">
      <c r="A45" s="38" t="s">
        <v>39</v>
      </c>
      <c r="B45" s="22"/>
      <c r="C45" s="39">
        <f t="shared" si="25"/>
        <v>6</v>
      </c>
      <c r="D45" s="26">
        <f t="shared" si="26"/>
        <v>16.66666667</v>
      </c>
      <c r="E45" s="39">
        <f t="shared" si="27"/>
        <v>6</v>
      </c>
      <c r="F45" s="26">
        <f t="shared" si="28"/>
        <v>16.66666667</v>
      </c>
      <c r="G45" s="39">
        <f t="shared" si="29"/>
        <v>6</v>
      </c>
      <c r="H45" s="26">
        <f t="shared" si="30"/>
        <v>16.66666667</v>
      </c>
      <c r="I45" s="39">
        <f t="shared" si="31"/>
        <v>6</v>
      </c>
      <c r="J45" s="26">
        <f t="shared" si="32"/>
        <v>16.66666667</v>
      </c>
      <c r="K45" s="39">
        <f t="shared" si="33"/>
        <v>3</v>
      </c>
      <c r="L45" s="26">
        <f t="shared" si="34"/>
        <v>8.333333333</v>
      </c>
      <c r="M45" s="39">
        <f t="shared" si="35"/>
        <v>3</v>
      </c>
      <c r="N45" s="26">
        <f t="shared" si="36"/>
        <v>8.333333333</v>
      </c>
      <c r="O45" s="39">
        <f t="shared" si="37"/>
        <v>6</v>
      </c>
      <c r="P45" s="26">
        <f t="shared" si="38"/>
        <v>16.66666667</v>
      </c>
      <c r="Q45" s="55">
        <f t="shared" si="39"/>
        <v>36</v>
      </c>
      <c r="R45">
        <f t="shared" ref="R45:R47" si="40">SUM(P45,N45,L45,J45,H45,F45,D45)</f>
        <v>100</v>
      </c>
    </row>
    <row r="46" ht="16.5" customHeight="1">
      <c r="A46" s="38" t="s">
        <v>41</v>
      </c>
      <c r="B46" s="22"/>
      <c r="C46" s="39">
        <f t="shared" si="25"/>
        <v>1</v>
      </c>
      <c r="D46" s="26">
        <f t="shared" si="26"/>
        <v>7.692307692</v>
      </c>
      <c r="E46" s="39">
        <f t="shared" si="27"/>
        <v>1</v>
      </c>
      <c r="F46" s="26">
        <f t="shared" si="28"/>
        <v>7.692307692</v>
      </c>
      <c r="G46" s="39">
        <f t="shared" si="29"/>
        <v>2</v>
      </c>
      <c r="H46" s="26">
        <f t="shared" si="30"/>
        <v>15.38461538</v>
      </c>
      <c r="I46" s="39">
        <f t="shared" si="31"/>
        <v>2</v>
      </c>
      <c r="J46" s="26">
        <f t="shared" si="32"/>
        <v>15.38461538</v>
      </c>
      <c r="K46" s="39">
        <f t="shared" si="33"/>
        <v>4</v>
      </c>
      <c r="L46" s="26">
        <f t="shared" si="34"/>
        <v>30.76923077</v>
      </c>
      <c r="M46" s="39">
        <f t="shared" si="35"/>
        <v>2</v>
      </c>
      <c r="N46" s="26">
        <f t="shared" si="36"/>
        <v>15.38461538</v>
      </c>
      <c r="O46" s="39">
        <f t="shared" si="37"/>
        <v>1</v>
      </c>
      <c r="P46" s="26">
        <f t="shared" si="38"/>
        <v>7.692307692</v>
      </c>
      <c r="Q46" s="55">
        <f t="shared" si="39"/>
        <v>13</v>
      </c>
      <c r="R46">
        <f t="shared" si="40"/>
        <v>100</v>
      </c>
    </row>
    <row r="47" ht="16.5" customHeight="1">
      <c r="A47" s="45" t="s">
        <v>22</v>
      </c>
      <c r="B47" s="29"/>
      <c r="C47" s="30">
        <f t="shared" si="25"/>
        <v>6</v>
      </c>
      <c r="D47" s="31">
        <f t="shared" si="26"/>
        <v>10.71428571</v>
      </c>
      <c r="E47" s="30">
        <f t="shared" si="27"/>
        <v>6</v>
      </c>
      <c r="F47" s="31">
        <f t="shared" si="28"/>
        <v>10.71428571</v>
      </c>
      <c r="G47" s="30">
        <f t="shared" si="29"/>
        <v>10</v>
      </c>
      <c r="H47" s="31">
        <f t="shared" si="30"/>
        <v>17.85714286</v>
      </c>
      <c r="I47" s="30">
        <f t="shared" si="31"/>
        <v>8</v>
      </c>
      <c r="J47" s="31">
        <f t="shared" si="32"/>
        <v>14.28571429</v>
      </c>
      <c r="K47" s="30">
        <f t="shared" si="33"/>
        <v>8</v>
      </c>
      <c r="L47" s="31">
        <f t="shared" si="34"/>
        <v>14.28571429</v>
      </c>
      <c r="M47" s="30">
        <f t="shared" si="35"/>
        <v>14</v>
      </c>
      <c r="N47" s="31">
        <f t="shared" si="36"/>
        <v>25</v>
      </c>
      <c r="O47" s="30">
        <f t="shared" si="37"/>
        <v>4</v>
      </c>
      <c r="P47" s="31">
        <f t="shared" si="38"/>
        <v>7.142857143</v>
      </c>
      <c r="Q47" s="56">
        <f t="shared" si="39"/>
        <v>56</v>
      </c>
      <c r="R47">
        <f t="shared" si="40"/>
        <v>100</v>
      </c>
    </row>
    <row r="48" ht="15.75" customHeight="1"/>
    <row r="49" ht="15.75" customHeight="1">
      <c r="D49" s="57" t="s">
        <v>61</v>
      </c>
    </row>
    <row r="50" ht="15.75" customHeight="1">
      <c r="D50" s="58" t="s">
        <v>62</v>
      </c>
    </row>
    <row r="51" ht="17.25" customHeight="1"/>
    <row r="52" ht="17.25" customHeight="1"/>
    <row r="53" ht="16.5" customHeight="1"/>
    <row r="54" ht="16.5" customHeight="1"/>
    <row r="55" ht="16.5" customHeight="1">
      <c r="A55" s="59" t="s">
        <v>63</v>
      </c>
      <c r="B55" s="60" t="s">
        <v>64</v>
      </c>
      <c r="C55" s="61"/>
      <c r="D55" s="62" t="s">
        <v>54</v>
      </c>
      <c r="E55" s="63"/>
      <c r="F55" s="61"/>
      <c r="G55" s="62" t="s">
        <v>54</v>
      </c>
      <c r="H55" s="63"/>
      <c r="I55" s="61"/>
      <c r="J55" s="62" t="s">
        <v>5</v>
      </c>
      <c r="K55" s="63"/>
      <c r="L55" s="61"/>
      <c r="M55" s="62" t="s">
        <v>6</v>
      </c>
      <c r="N55" s="63"/>
      <c r="O55" s="61"/>
      <c r="P55" s="62" t="s">
        <v>7</v>
      </c>
      <c r="Q55" s="63"/>
      <c r="R55" s="61"/>
      <c r="S55" s="9" t="s">
        <v>8</v>
      </c>
      <c r="T55" s="64"/>
      <c r="U55" s="6"/>
      <c r="V55" s="9" t="s">
        <v>9</v>
      </c>
      <c r="W55" s="64"/>
      <c r="X55" s="6"/>
    </row>
    <row r="56" ht="17.25" customHeight="1">
      <c r="A56" s="65" t="s">
        <v>1</v>
      </c>
      <c r="B56" s="66" t="s">
        <v>65</v>
      </c>
      <c r="C56" s="67" t="s">
        <v>66</v>
      </c>
      <c r="D56" s="68" t="s">
        <v>56</v>
      </c>
      <c r="E56" s="69" t="s">
        <v>67</v>
      </c>
      <c r="F56" s="70" t="s">
        <v>68</v>
      </c>
      <c r="G56" s="68" t="s">
        <v>56</v>
      </c>
      <c r="H56" s="69" t="s">
        <v>67</v>
      </c>
      <c r="I56" s="67" t="s">
        <v>68</v>
      </c>
      <c r="J56" s="68" t="s">
        <v>56</v>
      </c>
      <c r="K56" s="69" t="s">
        <v>67</v>
      </c>
      <c r="L56" s="67" t="s">
        <v>68</v>
      </c>
      <c r="M56" s="68" t="s">
        <v>56</v>
      </c>
      <c r="N56" s="69" t="s">
        <v>67</v>
      </c>
      <c r="O56" s="67" t="s">
        <v>68</v>
      </c>
      <c r="P56" s="68" t="s">
        <v>56</v>
      </c>
      <c r="Q56" s="69" t="s">
        <v>67</v>
      </c>
      <c r="R56" s="67" t="s">
        <v>68</v>
      </c>
      <c r="S56" s="68" t="s">
        <v>56</v>
      </c>
      <c r="T56" s="69" t="s">
        <v>67</v>
      </c>
      <c r="U56" s="70" t="s">
        <v>68</v>
      </c>
      <c r="V56" s="68" t="s">
        <v>56</v>
      </c>
      <c r="W56" s="69" t="s">
        <v>67</v>
      </c>
      <c r="X56" s="70" t="s">
        <v>68</v>
      </c>
    </row>
    <row r="57" ht="16.5" customHeight="1">
      <c r="A57" s="16" t="s">
        <v>12</v>
      </c>
      <c r="B57" s="71"/>
      <c r="C57" s="72"/>
      <c r="D57" s="73"/>
      <c r="E57" s="74"/>
      <c r="F57" s="75"/>
      <c r="G57" s="73"/>
      <c r="H57" s="74"/>
      <c r="I57" s="75"/>
      <c r="J57" s="73"/>
      <c r="K57" s="74"/>
      <c r="L57" s="75"/>
      <c r="M57" s="73"/>
      <c r="N57" s="74"/>
      <c r="O57" s="75"/>
      <c r="P57" s="73"/>
      <c r="Q57" s="74"/>
      <c r="R57" s="75"/>
      <c r="S57" s="73"/>
      <c r="T57" s="74"/>
      <c r="U57" s="75"/>
      <c r="V57" s="73"/>
      <c r="W57" s="74"/>
      <c r="X57" s="75"/>
    </row>
    <row r="58" ht="16.5" customHeight="1">
      <c r="A58" s="21" t="s">
        <v>13</v>
      </c>
      <c r="B58" s="76">
        <v>0.4</v>
      </c>
      <c r="C58" s="72"/>
      <c r="D58" s="71">
        <f t="shared" ref="D58:D59" si="41">D31</f>
        <v>18.2320442</v>
      </c>
      <c r="E58" s="77">
        <f t="shared" ref="E58:E59" si="42">D58*$B58</f>
        <v>7.29281768</v>
      </c>
      <c r="F58" s="78"/>
      <c r="G58" s="71">
        <f t="shared" ref="G58:G59" si="43">F31</f>
        <v>18.2320442</v>
      </c>
      <c r="H58" s="77">
        <f t="shared" ref="H58:H59" si="44">G58*$B58</f>
        <v>7.29281768</v>
      </c>
      <c r="I58" s="78"/>
      <c r="J58" s="71">
        <f t="shared" ref="J58:J59" si="45">H31</f>
        <v>16.57458564</v>
      </c>
      <c r="K58" s="77">
        <f t="shared" ref="K58:K59" si="46">J58*$B58</f>
        <v>6.629834254</v>
      </c>
      <c r="L58" s="78"/>
      <c r="M58" s="71">
        <f>J31</f>
        <v>11.60220994</v>
      </c>
      <c r="N58" s="77">
        <f t="shared" ref="N58:N59" si="47">M58*$B58</f>
        <v>4.640883978</v>
      </c>
      <c r="O58" s="78"/>
      <c r="P58" s="71">
        <f t="shared" ref="P58:P59" si="48">L31</f>
        <v>9.392265193</v>
      </c>
      <c r="Q58" s="77">
        <f t="shared" ref="Q58:Q59" si="49">P58*$B58</f>
        <v>3.756906077</v>
      </c>
      <c r="R58" s="78"/>
      <c r="S58" s="71">
        <f t="shared" ref="S58:S59" si="50">N31</f>
        <v>9.392265193</v>
      </c>
      <c r="T58" s="77">
        <f t="shared" ref="T58:T59" si="51">S58*$B58</f>
        <v>3.756906077</v>
      </c>
      <c r="U58" s="78"/>
      <c r="V58" s="71">
        <f t="shared" ref="V58:V59" si="52">P31</f>
        <v>16.57458564</v>
      </c>
      <c r="W58" s="77">
        <f t="shared" ref="W58:W59" si="53">V58*$B58</f>
        <v>6.629834254</v>
      </c>
      <c r="X58" s="78"/>
    </row>
    <row r="59" ht="16.5" customHeight="1">
      <c r="A59" s="79" t="s">
        <v>15</v>
      </c>
      <c r="B59" s="76">
        <v>0.6</v>
      </c>
      <c r="C59" s="80"/>
      <c r="D59" s="71">
        <f t="shared" si="41"/>
        <v>10.52631579</v>
      </c>
      <c r="E59" s="77">
        <f t="shared" si="42"/>
        <v>6.315789474</v>
      </c>
      <c r="F59" s="78"/>
      <c r="G59" s="71">
        <f t="shared" si="43"/>
        <v>10.52631579</v>
      </c>
      <c r="H59" s="77">
        <f t="shared" si="44"/>
        <v>6.315789474</v>
      </c>
      <c r="I59" s="78"/>
      <c r="J59" s="71">
        <f t="shared" si="45"/>
        <v>10.52631579</v>
      </c>
      <c r="K59" s="77">
        <f t="shared" si="46"/>
        <v>6.315789474</v>
      </c>
      <c r="L59" s="78"/>
      <c r="M59" s="71" t="str">
        <f>JK32</f>
        <v/>
      </c>
      <c r="N59" s="77">
        <f t="shared" si="47"/>
        <v>0</v>
      </c>
      <c r="O59" s="78"/>
      <c r="P59" s="71">
        <f t="shared" si="48"/>
        <v>21.05263158</v>
      </c>
      <c r="Q59" s="77">
        <f t="shared" si="49"/>
        <v>12.63157895</v>
      </c>
      <c r="R59" s="78"/>
      <c r="S59" s="71">
        <f t="shared" si="50"/>
        <v>15.78947368</v>
      </c>
      <c r="T59" s="77">
        <f t="shared" si="51"/>
        <v>9.473684211</v>
      </c>
      <c r="U59" s="78"/>
      <c r="V59" s="71">
        <f t="shared" si="52"/>
        <v>10.52631579</v>
      </c>
      <c r="W59" s="77">
        <f t="shared" si="53"/>
        <v>6.315789474</v>
      </c>
      <c r="X59" s="78"/>
    </row>
    <row r="60" ht="17.25" customHeight="1">
      <c r="A60" s="28"/>
      <c r="B60" s="81"/>
      <c r="C60" s="82">
        <v>0.2</v>
      </c>
      <c r="D60" s="83"/>
      <c r="E60" s="84">
        <f>SUM(E58:E59)</f>
        <v>13.60860715</v>
      </c>
      <c r="F60" s="85">
        <f>E60*$C60</f>
        <v>2.721721431</v>
      </c>
      <c r="G60" s="86"/>
      <c r="H60" s="84">
        <f>SUM(H58:H59)</f>
        <v>13.60860715</v>
      </c>
      <c r="I60" s="85">
        <f>H60*$C60</f>
        <v>2.721721431</v>
      </c>
      <c r="J60" s="86"/>
      <c r="K60" s="84">
        <f>SUM(K58:K59)</f>
        <v>12.94562373</v>
      </c>
      <c r="L60" s="85">
        <f>K60*$C60</f>
        <v>2.589124746</v>
      </c>
      <c r="M60" s="86"/>
      <c r="N60" s="84">
        <f>SUM(N58:N59)</f>
        <v>4.640883978</v>
      </c>
      <c r="O60" s="85">
        <f>N60*$C60</f>
        <v>0.9281767956</v>
      </c>
      <c r="P60" s="86"/>
      <c r="Q60" s="84">
        <f>SUM(Q58:Q59)</f>
        <v>16.38848502</v>
      </c>
      <c r="R60" s="85">
        <f>Q60*$C60</f>
        <v>3.277697005</v>
      </c>
      <c r="S60" s="86"/>
      <c r="T60" s="84">
        <f>SUM(T58:T59)</f>
        <v>13.23059029</v>
      </c>
      <c r="U60" s="85">
        <f>T60*$C60</f>
        <v>2.646118058</v>
      </c>
      <c r="V60" s="86"/>
      <c r="W60" s="84">
        <f>SUM(W58:W59)</f>
        <v>12.94562373</v>
      </c>
      <c r="X60" s="85">
        <f>W60*$C60</f>
        <v>2.589124746</v>
      </c>
    </row>
    <row r="61" ht="17.25" customHeight="1">
      <c r="A61" s="3" t="s">
        <v>17</v>
      </c>
      <c r="B61" s="71"/>
      <c r="C61" s="72"/>
      <c r="D61" s="87"/>
      <c r="E61" s="74"/>
      <c r="F61" s="75"/>
      <c r="G61" s="87"/>
      <c r="H61" s="74"/>
      <c r="I61" s="75"/>
      <c r="J61" s="87"/>
      <c r="K61" s="74"/>
      <c r="L61" s="75"/>
      <c r="M61" s="87"/>
      <c r="N61" s="74"/>
      <c r="O61" s="75"/>
      <c r="P61" s="87"/>
      <c r="Q61" s="74"/>
      <c r="R61" s="75"/>
      <c r="S61" s="87"/>
      <c r="T61" s="74"/>
      <c r="U61" s="75"/>
      <c r="V61" s="87"/>
      <c r="W61" s="74"/>
      <c r="X61" s="75"/>
    </row>
    <row r="62" ht="15.75" customHeight="1">
      <c r="A62" s="38" t="s">
        <v>18</v>
      </c>
      <c r="B62" s="76">
        <v>0.75</v>
      </c>
      <c r="C62" s="72"/>
      <c r="D62" s="71">
        <f t="shared" ref="D62:D64" si="54">D34</f>
        <v>10</v>
      </c>
      <c r="E62" s="77">
        <f t="shared" ref="E62:E64" si="55">D62*$B62</f>
        <v>7.5</v>
      </c>
      <c r="F62" s="78"/>
      <c r="G62" s="71">
        <f t="shared" ref="G62:G64" si="56">F34</f>
        <v>20</v>
      </c>
      <c r="H62" s="77">
        <f t="shared" ref="H62:H64" si="57">G62*$B62</f>
        <v>15</v>
      </c>
      <c r="I62" s="78"/>
      <c r="J62" s="71">
        <f t="shared" ref="J62:J64" si="58">H34</f>
        <v>10</v>
      </c>
      <c r="K62" s="77">
        <f t="shared" ref="K62:K64" si="59">J62*$B62</f>
        <v>7.5</v>
      </c>
      <c r="L62" s="78"/>
      <c r="M62" s="71">
        <f t="shared" ref="M62:M64" si="60">J34</f>
        <v>20</v>
      </c>
      <c r="N62" s="77">
        <f t="shared" ref="N62:N64" si="61">M62*$B62</f>
        <v>15</v>
      </c>
      <c r="O62" s="78"/>
      <c r="P62" s="71">
        <f t="shared" ref="P62:P64" si="62">L34</f>
        <v>20</v>
      </c>
      <c r="Q62" s="77">
        <f t="shared" ref="Q62:Q64" si="63">P62*$B62</f>
        <v>15</v>
      </c>
      <c r="R62" s="78"/>
      <c r="S62" s="71">
        <f t="shared" ref="S62:S64" si="64">N34</f>
        <v>10</v>
      </c>
      <c r="T62" s="77">
        <f t="shared" ref="T62:T64" si="65">S62*$B62</f>
        <v>7.5</v>
      </c>
      <c r="U62" s="78"/>
      <c r="V62" s="71">
        <f t="shared" ref="V62:V64" si="66">P34</f>
        <v>10</v>
      </c>
      <c r="W62" s="77">
        <f t="shared" ref="W62:W64" si="67">V62*$B62</f>
        <v>7.5</v>
      </c>
      <c r="X62" s="78"/>
    </row>
    <row r="63" ht="15.75" customHeight="1">
      <c r="A63" s="38" t="s">
        <v>20</v>
      </c>
      <c r="B63" s="76">
        <v>0.2</v>
      </c>
      <c r="C63" s="88"/>
      <c r="D63" s="71">
        <f t="shared" si="54"/>
        <v>3.448275862</v>
      </c>
      <c r="E63" s="77">
        <f t="shared" si="55"/>
        <v>0.6896551724</v>
      </c>
      <c r="F63" s="78"/>
      <c r="G63" s="71">
        <f t="shared" si="56"/>
        <v>3.448275862</v>
      </c>
      <c r="H63" s="77">
        <f t="shared" si="57"/>
        <v>0.6896551724</v>
      </c>
      <c r="I63" s="78"/>
      <c r="J63" s="71">
        <f t="shared" si="58"/>
        <v>3.448275862</v>
      </c>
      <c r="K63" s="77">
        <f t="shared" si="59"/>
        <v>0.6896551724</v>
      </c>
      <c r="L63" s="78"/>
      <c r="M63" s="71">
        <f t="shared" si="60"/>
        <v>55.17241379</v>
      </c>
      <c r="N63" s="77">
        <f t="shared" si="61"/>
        <v>11.03448276</v>
      </c>
      <c r="O63" s="78"/>
      <c r="P63" s="71">
        <f t="shared" si="62"/>
        <v>10.34482759</v>
      </c>
      <c r="Q63" s="77">
        <f t="shared" si="63"/>
        <v>2.068965517</v>
      </c>
      <c r="R63" s="78"/>
      <c r="S63" s="71">
        <f t="shared" si="64"/>
        <v>20.68965517</v>
      </c>
      <c r="T63" s="77">
        <f t="shared" si="65"/>
        <v>4.137931034</v>
      </c>
      <c r="U63" s="78"/>
      <c r="V63" s="71">
        <f t="shared" si="66"/>
        <v>3.448275862</v>
      </c>
      <c r="W63" s="77">
        <f t="shared" si="67"/>
        <v>0.6896551724</v>
      </c>
      <c r="X63" s="78"/>
    </row>
    <row r="64" ht="16.5" customHeight="1">
      <c r="A64" s="79" t="s">
        <v>22</v>
      </c>
      <c r="B64" s="76">
        <v>0.05</v>
      </c>
      <c r="C64" s="80"/>
      <c r="D64" s="71">
        <f t="shared" si="54"/>
        <v>8</v>
      </c>
      <c r="E64" s="77">
        <f t="shared" si="55"/>
        <v>0.4</v>
      </c>
      <c r="F64" s="89"/>
      <c r="G64" s="71">
        <f t="shared" si="56"/>
        <v>8</v>
      </c>
      <c r="H64" s="77">
        <f t="shared" si="57"/>
        <v>0.4</v>
      </c>
      <c r="I64" s="89"/>
      <c r="J64" s="71">
        <f t="shared" si="58"/>
        <v>8</v>
      </c>
      <c r="K64" s="77">
        <f t="shared" si="59"/>
        <v>0.4</v>
      </c>
      <c r="L64" s="89"/>
      <c r="M64" s="71">
        <f t="shared" si="60"/>
        <v>32</v>
      </c>
      <c r="N64" s="77">
        <f t="shared" si="61"/>
        <v>1.6</v>
      </c>
      <c r="O64" s="89"/>
      <c r="P64" s="71">
        <f t="shared" si="62"/>
        <v>12</v>
      </c>
      <c r="Q64" s="77">
        <f t="shared" si="63"/>
        <v>0.6</v>
      </c>
      <c r="R64" s="89"/>
      <c r="S64" s="71">
        <f t="shared" si="64"/>
        <v>24</v>
      </c>
      <c r="T64" s="77">
        <f t="shared" si="65"/>
        <v>1.2</v>
      </c>
      <c r="U64" s="89"/>
      <c r="V64" s="71">
        <f t="shared" si="66"/>
        <v>8</v>
      </c>
      <c r="W64" s="77">
        <f t="shared" si="67"/>
        <v>0.4</v>
      </c>
      <c r="X64" s="89"/>
    </row>
    <row r="65" ht="16.5" customHeight="1">
      <c r="A65" s="28"/>
      <c r="B65" s="90"/>
      <c r="C65" s="91">
        <v>0.35</v>
      </c>
      <c r="D65" s="83"/>
      <c r="E65" s="92">
        <f>SUM(E62:E64)</f>
        <v>8.589655172</v>
      </c>
      <c r="F65" s="85">
        <f>E65*$C65</f>
        <v>3.00637931</v>
      </c>
      <c r="G65" s="86"/>
      <c r="H65" s="92">
        <f>SUM(H62:H64)</f>
        <v>16.08965517</v>
      </c>
      <c r="I65" s="85">
        <f>H65*$C65</f>
        <v>5.63137931</v>
      </c>
      <c r="J65" s="86"/>
      <c r="K65" s="92">
        <f>SUM(K62:K64)</f>
        <v>8.589655172</v>
      </c>
      <c r="L65" s="85">
        <f>K65*$C65</f>
        <v>3.00637931</v>
      </c>
      <c r="M65" s="86"/>
      <c r="N65" s="92">
        <f>SUM(N62:N64)</f>
        <v>27.63448276</v>
      </c>
      <c r="O65" s="85">
        <f>N65*$C65</f>
        <v>9.672068966</v>
      </c>
      <c r="P65" s="86"/>
      <c r="Q65" s="92">
        <f>SUM(Q62:Q64)</f>
        <v>17.66896552</v>
      </c>
      <c r="R65" s="85">
        <f>Q65*$C65</f>
        <v>6.184137931</v>
      </c>
      <c r="S65" s="86"/>
      <c r="T65" s="92">
        <f>SUM(T62:T64)</f>
        <v>12.83793103</v>
      </c>
      <c r="U65" s="85">
        <f>T65*$C65</f>
        <v>4.493275862</v>
      </c>
      <c r="V65" s="86"/>
      <c r="W65" s="92">
        <f>SUM(W62:W64)</f>
        <v>8.589655172</v>
      </c>
      <c r="X65" s="85">
        <f>W65*$C65</f>
        <v>3.00637931</v>
      </c>
    </row>
    <row r="66" ht="16.5" customHeight="1">
      <c r="A66" s="42" t="s">
        <v>23</v>
      </c>
      <c r="B66" s="93"/>
      <c r="C66" s="88"/>
      <c r="D66" s="87"/>
      <c r="E66" s="94"/>
      <c r="F66" s="75"/>
      <c r="G66" s="87"/>
      <c r="H66" s="94"/>
      <c r="I66" s="75"/>
      <c r="J66" s="87"/>
      <c r="K66" s="94"/>
      <c r="L66" s="75"/>
      <c r="M66" s="87"/>
      <c r="N66" s="94"/>
      <c r="O66" s="75"/>
      <c r="P66" s="87"/>
      <c r="Q66" s="94"/>
      <c r="R66" s="75"/>
      <c r="S66" s="87"/>
      <c r="T66" s="94"/>
      <c r="U66" s="75"/>
      <c r="V66" s="87"/>
      <c r="W66" s="94"/>
      <c r="X66" s="75"/>
    </row>
    <row r="67" ht="16.5" customHeight="1">
      <c r="A67" s="38" t="s">
        <v>58</v>
      </c>
      <c r="B67" s="76">
        <v>1.0</v>
      </c>
      <c r="C67" s="80"/>
      <c r="D67" s="71">
        <f>D38</f>
        <v>1</v>
      </c>
      <c r="E67" s="77">
        <f>D67*$B67</f>
        <v>1</v>
      </c>
      <c r="F67" s="78"/>
      <c r="G67" s="71">
        <f>F38</f>
        <v>1</v>
      </c>
      <c r="H67" s="77">
        <f>G67*$B67</f>
        <v>1</v>
      </c>
      <c r="I67" s="78"/>
      <c r="J67" s="71">
        <f>H38</f>
        <v>1</v>
      </c>
      <c r="K67" s="77">
        <f>J67*$B67</f>
        <v>1</v>
      </c>
      <c r="L67" s="78"/>
      <c r="M67" s="71">
        <f>J38</f>
        <v>1</v>
      </c>
      <c r="N67" s="77">
        <f>M67*$B67</f>
        <v>1</v>
      </c>
      <c r="O67" s="78"/>
      <c r="P67" s="71">
        <f>L38</f>
        <v>1</v>
      </c>
      <c r="Q67" s="77">
        <f>P67*$B67</f>
        <v>1</v>
      </c>
      <c r="R67" s="78"/>
      <c r="S67" s="71">
        <f>N38</f>
        <v>1</v>
      </c>
      <c r="T67" s="77">
        <f>S67*$B67</f>
        <v>1</v>
      </c>
      <c r="U67" s="78"/>
      <c r="V67" s="71">
        <f>P38</f>
        <v>1</v>
      </c>
      <c r="W67" s="77">
        <f>V67*$B67</f>
        <v>1</v>
      </c>
      <c r="X67" s="78"/>
    </row>
    <row r="68" ht="16.5" customHeight="1">
      <c r="A68" s="28"/>
      <c r="B68" s="95"/>
      <c r="C68" s="91">
        <v>0.0</v>
      </c>
      <c r="D68" s="83"/>
      <c r="E68" s="92">
        <f>SUM(E67)</f>
        <v>1</v>
      </c>
      <c r="F68" s="85">
        <f>E68*$C68</f>
        <v>0</v>
      </c>
      <c r="G68" s="86"/>
      <c r="H68" s="92">
        <f>SUM(H67)</f>
        <v>1</v>
      </c>
      <c r="I68" s="85">
        <f>H68*$C68</f>
        <v>0</v>
      </c>
      <c r="J68" s="86"/>
      <c r="K68" s="92">
        <f>SUM(K67)</f>
        <v>1</v>
      </c>
      <c r="L68" s="85">
        <f>K68*$C68</f>
        <v>0</v>
      </c>
      <c r="M68" s="86"/>
      <c r="N68" s="92">
        <f>SUM(N67)</f>
        <v>1</v>
      </c>
      <c r="O68" s="85">
        <f>N68*$C68</f>
        <v>0</v>
      </c>
      <c r="P68" s="86"/>
      <c r="Q68" s="92">
        <f>SUM(Q67)</f>
        <v>1</v>
      </c>
      <c r="R68" s="85">
        <f>Q68*$C68</f>
        <v>0</v>
      </c>
      <c r="S68" s="86"/>
      <c r="T68" s="92">
        <f>SUM(T67)</f>
        <v>1</v>
      </c>
      <c r="U68" s="85">
        <f>T68*$C68</f>
        <v>0</v>
      </c>
      <c r="V68" s="86"/>
      <c r="W68" s="92">
        <f>SUM(W67)</f>
        <v>1</v>
      </c>
      <c r="X68" s="85">
        <f>W68*$C68</f>
        <v>0</v>
      </c>
    </row>
    <row r="69" ht="16.5" customHeight="1">
      <c r="A69" s="42" t="s">
        <v>25</v>
      </c>
      <c r="B69" s="93"/>
      <c r="C69" s="88"/>
      <c r="D69" s="87"/>
      <c r="E69" s="94"/>
      <c r="F69" s="75"/>
      <c r="G69" s="87"/>
      <c r="H69" s="94"/>
      <c r="I69" s="75"/>
      <c r="J69" s="87"/>
      <c r="K69" s="94"/>
      <c r="L69" s="75"/>
      <c r="M69" s="87"/>
      <c r="N69" s="94"/>
      <c r="O69" s="75"/>
      <c r="P69" s="87"/>
      <c r="Q69" s="94"/>
      <c r="R69" s="75"/>
      <c r="S69" s="87"/>
      <c r="T69" s="94"/>
      <c r="U69" s="75"/>
      <c r="V69" s="87"/>
      <c r="W69" s="94"/>
      <c r="X69" s="75"/>
    </row>
    <row r="70" ht="16.5" customHeight="1">
      <c r="A70" s="38" t="s">
        <v>59</v>
      </c>
      <c r="B70" s="76">
        <v>1.0</v>
      </c>
      <c r="C70" s="80"/>
      <c r="D70" s="71">
        <f>D40</f>
        <v>10</v>
      </c>
      <c r="E70" s="77">
        <f>D70*$B70</f>
        <v>10</v>
      </c>
      <c r="F70" s="78"/>
      <c r="G70" s="71">
        <f>F40</f>
        <v>10</v>
      </c>
      <c r="H70" s="77">
        <f>G70*$B70</f>
        <v>10</v>
      </c>
      <c r="I70" s="78"/>
      <c r="J70" s="71">
        <f>H40</f>
        <v>20</v>
      </c>
      <c r="K70" s="77">
        <f>J70*$B70</f>
        <v>20</v>
      </c>
      <c r="L70" s="78"/>
      <c r="M70" s="71">
        <f>J40</f>
        <v>20</v>
      </c>
      <c r="N70" s="77">
        <f>M70*$B70</f>
        <v>20</v>
      </c>
      <c r="O70" s="78"/>
      <c r="P70" s="71">
        <f>L40</f>
        <v>10</v>
      </c>
      <c r="Q70" s="77">
        <f>P70*$B70</f>
        <v>10</v>
      </c>
      <c r="R70" s="78"/>
      <c r="S70" s="71">
        <f>N40</f>
        <v>20</v>
      </c>
      <c r="T70" s="77">
        <f>S70*$B70</f>
        <v>20</v>
      </c>
      <c r="U70" s="78"/>
      <c r="V70" s="71">
        <f>P40</f>
        <v>10</v>
      </c>
      <c r="W70" s="77">
        <f>V70*$B70</f>
        <v>10</v>
      </c>
      <c r="X70" s="78"/>
    </row>
    <row r="71" ht="16.5" customHeight="1">
      <c r="A71" s="28"/>
      <c r="B71" s="95"/>
      <c r="C71" s="91">
        <v>0.1</v>
      </c>
      <c r="D71" s="86"/>
      <c r="E71" s="92">
        <f>SUM(E70)</f>
        <v>10</v>
      </c>
      <c r="F71" s="85">
        <f>E71*$C71</f>
        <v>1</v>
      </c>
      <c r="G71" s="86"/>
      <c r="H71" s="92">
        <f>SUM(H70)</f>
        <v>10</v>
      </c>
      <c r="I71" s="85">
        <f>H71*$C71</f>
        <v>1</v>
      </c>
      <c r="J71" s="86"/>
      <c r="K71" s="92">
        <f>SUM(K70)</f>
        <v>20</v>
      </c>
      <c r="L71" s="85">
        <f>K71*$C71</f>
        <v>2</v>
      </c>
      <c r="M71" s="86"/>
      <c r="N71" s="92">
        <f>SUM(N70)</f>
        <v>20</v>
      </c>
      <c r="O71" s="85">
        <f>N71*$C71</f>
        <v>2</v>
      </c>
      <c r="P71" s="86"/>
      <c r="Q71" s="92">
        <f>SUM(Q70)</f>
        <v>10</v>
      </c>
      <c r="R71" s="85">
        <f>Q71*$C71</f>
        <v>1</v>
      </c>
      <c r="S71" s="86"/>
      <c r="T71" s="92">
        <f>SUM(T70)</f>
        <v>20</v>
      </c>
      <c r="U71" s="85">
        <f>T71*$C71</f>
        <v>2</v>
      </c>
      <c r="V71" s="86"/>
      <c r="W71" s="92">
        <f>SUM(W70)</f>
        <v>10</v>
      </c>
      <c r="X71" s="85">
        <f>W71*$C71</f>
        <v>1</v>
      </c>
    </row>
    <row r="72" ht="16.5" customHeight="1">
      <c r="A72" s="42" t="s">
        <v>28</v>
      </c>
      <c r="B72" s="93"/>
      <c r="C72" s="88"/>
      <c r="D72" s="87"/>
      <c r="E72" s="94"/>
      <c r="F72" s="75"/>
      <c r="G72" s="87"/>
      <c r="H72" s="94"/>
      <c r="I72" s="75"/>
      <c r="J72" s="87"/>
      <c r="K72" s="94"/>
      <c r="L72" s="75"/>
      <c r="M72" s="87"/>
      <c r="N72" s="94"/>
      <c r="O72" s="75"/>
      <c r="P72" s="87"/>
      <c r="Q72" s="94"/>
      <c r="R72" s="75"/>
      <c r="S72" s="87"/>
      <c r="T72" s="94"/>
      <c r="U72" s="75"/>
      <c r="V72" s="87"/>
      <c r="W72" s="94"/>
      <c r="X72" s="75"/>
    </row>
    <row r="73" ht="16.5" customHeight="1">
      <c r="A73" s="38" t="s">
        <v>60</v>
      </c>
      <c r="B73" s="76">
        <v>1.0</v>
      </c>
      <c r="C73" s="80"/>
      <c r="D73" s="71">
        <f>D46</f>
        <v>7.692307692</v>
      </c>
      <c r="E73" s="77">
        <f>D73*$B73</f>
        <v>7.692307692</v>
      </c>
      <c r="F73" s="78"/>
      <c r="G73" s="71">
        <f>F42</f>
        <v>14.58333333</v>
      </c>
      <c r="H73" s="77">
        <f>G73*$B73</f>
        <v>14.58333333</v>
      </c>
      <c r="I73" s="78"/>
      <c r="J73" s="71">
        <f>H42</f>
        <v>8.333333333</v>
      </c>
      <c r="K73" s="77">
        <f>J73*$B73</f>
        <v>8.333333333</v>
      </c>
      <c r="L73" s="78"/>
      <c r="M73" s="71">
        <f>J42</f>
        <v>16.66666667</v>
      </c>
      <c r="N73" s="77">
        <f>M73*$B73</f>
        <v>16.66666667</v>
      </c>
      <c r="O73" s="78"/>
      <c r="P73" s="71">
        <f>L42</f>
        <v>20.83333333</v>
      </c>
      <c r="Q73" s="77">
        <f>P73*$B73</f>
        <v>20.83333333</v>
      </c>
      <c r="R73" s="78"/>
      <c r="S73" s="71">
        <f>N42</f>
        <v>8.333333333</v>
      </c>
      <c r="T73" s="77">
        <f>S73*$B73</f>
        <v>8.333333333</v>
      </c>
      <c r="U73" s="78"/>
      <c r="V73" s="71">
        <f>P42</f>
        <v>16.66666667</v>
      </c>
      <c r="W73" s="77">
        <f>V73*$B73</f>
        <v>16.66666667</v>
      </c>
      <c r="X73" s="78"/>
    </row>
    <row r="74" ht="16.5" customHeight="1">
      <c r="A74" s="28"/>
      <c r="B74" s="95"/>
      <c r="C74" s="91">
        <v>0.05</v>
      </c>
      <c r="D74" s="83"/>
      <c r="E74" s="92">
        <f>SUM(E73)</f>
        <v>7.692307692</v>
      </c>
      <c r="F74" s="85">
        <f>E74*$C74</f>
        <v>0.3846153846</v>
      </c>
      <c r="G74" s="86"/>
      <c r="H74" s="92">
        <f>SUM(H73)</f>
        <v>14.58333333</v>
      </c>
      <c r="I74" s="85">
        <f>H74*$C74</f>
        <v>0.7291666667</v>
      </c>
      <c r="J74" s="86"/>
      <c r="K74" s="92">
        <f>SUM(K73)</f>
        <v>8.333333333</v>
      </c>
      <c r="L74" s="85">
        <f>K74*$C74</f>
        <v>0.4166666667</v>
      </c>
      <c r="M74" s="86"/>
      <c r="N74" s="92">
        <f>SUM(N73)</f>
        <v>16.66666667</v>
      </c>
      <c r="O74" s="85">
        <f>N74*$C74</f>
        <v>0.8333333333</v>
      </c>
      <c r="P74" s="86"/>
      <c r="Q74" s="92">
        <f>SUM(Q73)</f>
        <v>20.83333333</v>
      </c>
      <c r="R74" s="85">
        <f>Q74*$C74</f>
        <v>1.041666667</v>
      </c>
      <c r="S74" s="86"/>
      <c r="T74" s="92">
        <f>SUM(T73)</f>
        <v>8.333333333</v>
      </c>
      <c r="U74" s="85">
        <f>T74*$C74</f>
        <v>0.4166666667</v>
      </c>
      <c r="V74" s="86"/>
      <c r="W74" s="92">
        <f>SUM(W73)</f>
        <v>16.66666667</v>
      </c>
      <c r="X74" s="85">
        <f>W74*$C74</f>
        <v>0.8333333333</v>
      </c>
    </row>
    <row r="75" ht="16.5" customHeight="1">
      <c r="A75" s="42" t="s">
        <v>35</v>
      </c>
      <c r="B75" s="93"/>
      <c r="C75" s="88"/>
      <c r="D75" s="87"/>
      <c r="E75" s="94"/>
      <c r="F75" s="75"/>
      <c r="G75" s="87"/>
      <c r="H75" s="94"/>
      <c r="I75" s="75"/>
      <c r="J75" s="87"/>
      <c r="K75" s="94"/>
      <c r="L75" s="75"/>
      <c r="M75" s="87"/>
      <c r="N75" s="94"/>
      <c r="O75" s="75"/>
      <c r="P75" s="87"/>
      <c r="Q75" s="94"/>
      <c r="R75" s="75"/>
      <c r="S75" s="87"/>
      <c r="T75" s="94"/>
      <c r="U75" s="75"/>
      <c r="V75" s="87"/>
      <c r="W75" s="94"/>
      <c r="X75" s="75"/>
    </row>
    <row r="76" ht="16.5" customHeight="1">
      <c r="A76" s="38" t="s">
        <v>36</v>
      </c>
      <c r="B76" s="76">
        <v>0.15</v>
      </c>
      <c r="C76" s="88"/>
      <c r="D76" s="87" t="str">
        <f t="shared" ref="D76:D79" si="68">D44</f>
        <v>#VALUE!</v>
      </c>
      <c r="E76" s="77" t="str">
        <f t="shared" ref="E76:E79" si="69">D76*$B76</f>
        <v>#VALUE!</v>
      </c>
      <c r="F76" s="78"/>
      <c r="G76" s="87">
        <f t="shared" ref="G76:G79" si="70">F44</f>
        <v>10</v>
      </c>
      <c r="H76" s="77">
        <f t="shared" ref="H76:H79" si="71">G76*$B76</f>
        <v>1.5</v>
      </c>
      <c r="I76" s="78"/>
      <c r="J76" s="87">
        <f t="shared" ref="J76:J79" si="72">H44</f>
        <v>14.66666667</v>
      </c>
      <c r="K76" s="77">
        <f t="shared" ref="K76:K79" si="73">J76*$B76</f>
        <v>2.2</v>
      </c>
      <c r="L76" s="78"/>
      <c r="M76" s="87">
        <f t="shared" ref="M76:M79" si="74">J44</f>
        <v>19.66666667</v>
      </c>
      <c r="N76" s="77">
        <f t="shared" ref="N76:N79" si="75">M76*$B76</f>
        <v>2.95</v>
      </c>
      <c r="O76" s="78"/>
      <c r="P76" s="87">
        <f t="shared" ref="P76:P79" si="76">L44</f>
        <v>16.66666667</v>
      </c>
      <c r="Q76" s="77">
        <f t="shared" ref="Q76:Q79" si="77">P76*$B76</f>
        <v>2.5</v>
      </c>
      <c r="R76" s="78"/>
      <c r="S76" s="87">
        <f t="shared" ref="S76:S79" si="78">N44</f>
        <v>19.33333333</v>
      </c>
      <c r="T76" s="77">
        <f t="shared" ref="T76:T79" si="79">S76*$B76</f>
        <v>2.9</v>
      </c>
      <c r="U76" s="78"/>
      <c r="V76" s="87">
        <f t="shared" ref="V76:V79" si="80">P44</f>
        <v>19.66666667</v>
      </c>
      <c r="W76" s="77">
        <f t="shared" ref="W76:W79" si="81">V76*$B76</f>
        <v>2.95</v>
      </c>
      <c r="X76" s="78"/>
    </row>
    <row r="77" ht="16.5" customHeight="1">
      <c r="A77" s="38" t="s">
        <v>39</v>
      </c>
      <c r="B77" s="76">
        <v>0.3</v>
      </c>
      <c r="C77" s="88"/>
      <c r="D77" s="87">
        <f t="shared" si="68"/>
        <v>16.66666667</v>
      </c>
      <c r="E77" s="77">
        <f t="shared" si="69"/>
        <v>5</v>
      </c>
      <c r="F77" s="78"/>
      <c r="G77" s="87">
        <f t="shared" si="70"/>
        <v>16.66666667</v>
      </c>
      <c r="H77" s="77">
        <f t="shared" si="71"/>
        <v>5</v>
      </c>
      <c r="I77" s="78"/>
      <c r="J77" s="87">
        <f t="shared" si="72"/>
        <v>16.66666667</v>
      </c>
      <c r="K77" s="77">
        <f t="shared" si="73"/>
        <v>5</v>
      </c>
      <c r="L77" s="78"/>
      <c r="M77" s="87">
        <f t="shared" si="74"/>
        <v>16.66666667</v>
      </c>
      <c r="N77" s="77">
        <f t="shared" si="75"/>
        <v>5</v>
      </c>
      <c r="O77" s="78"/>
      <c r="P77" s="87">
        <f t="shared" si="76"/>
        <v>8.333333333</v>
      </c>
      <c r="Q77" s="77">
        <f t="shared" si="77"/>
        <v>2.5</v>
      </c>
      <c r="R77" s="78"/>
      <c r="S77" s="87">
        <f t="shared" si="78"/>
        <v>8.333333333</v>
      </c>
      <c r="T77" s="77">
        <f t="shared" si="79"/>
        <v>2.5</v>
      </c>
      <c r="U77" s="78"/>
      <c r="V77" s="87">
        <f t="shared" si="80"/>
        <v>16.66666667</v>
      </c>
      <c r="W77" s="77">
        <f t="shared" si="81"/>
        <v>5</v>
      </c>
      <c r="X77" s="78"/>
    </row>
    <row r="78" ht="16.5" customHeight="1">
      <c r="A78" s="38" t="s">
        <v>41</v>
      </c>
      <c r="B78" s="76">
        <v>0.25</v>
      </c>
      <c r="C78" s="88"/>
      <c r="D78" s="87">
        <f t="shared" si="68"/>
        <v>7.692307692</v>
      </c>
      <c r="E78" s="77">
        <f t="shared" si="69"/>
        <v>1.923076923</v>
      </c>
      <c r="F78" s="78"/>
      <c r="G78" s="87">
        <f t="shared" si="70"/>
        <v>7.692307692</v>
      </c>
      <c r="H78" s="77">
        <f t="shared" si="71"/>
        <v>1.923076923</v>
      </c>
      <c r="I78" s="78"/>
      <c r="J78" s="87">
        <f t="shared" si="72"/>
        <v>15.38461538</v>
      </c>
      <c r="K78" s="77">
        <f t="shared" si="73"/>
        <v>3.846153846</v>
      </c>
      <c r="L78" s="78"/>
      <c r="M78" s="87">
        <f t="shared" si="74"/>
        <v>15.38461538</v>
      </c>
      <c r="N78" s="77">
        <f t="shared" si="75"/>
        <v>3.846153846</v>
      </c>
      <c r="O78" s="78"/>
      <c r="P78" s="87">
        <f t="shared" si="76"/>
        <v>30.76923077</v>
      </c>
      <c r="Q78" s="77">
        <f t="shared" si="77"/>
        <v>7.692307692</v>
      </c>
      <c r="R78" s="78"/>
      <c r="S78" s="87">
        <f t="shared" si="78"/>
        <v>15.38461538</v>
      </c>
      <c r="T78" s="77">
        <f t="shared" si="79"/>
        <v>3.846153846</v>
      </c>
      <c r="U78" s="78"/>
      <c r="V78" s="87">
        <f t="shared" si="80"/>
        <v>7.692307692</v>
      </c>
      <c r="W78" s="77">
        <f t="shared" si="81"/>
        <v>1.923076923</v>
      </c>
      <c r="X78" s="78"/>
    </row>
    <row r="79" ht="16.5" customHeight="1">
      <c r="A79" s="38" t="s">
        <v>22</v>
      </c>
      <c r="B79" s="76">
        <v>0.3</v>
      </c>
      <c r="C79" s="88"/>
      <c r="D79" s="87">
        <f t="shared" si="68"/>
        <v>10.71428571</v>
      </c>
      <c r="E79" s="77">
        <f t="shared" si="69"/>
        <v>3.214285714</v>
      </c>
      <c r="F79" s="78"/>
      <c r="G79" s="87">
        <f t="shared" si="70"/>
        <v>10.71428571</v>
      </c>
      <c r="H79" s="77">
        <f t="shared" si="71"/>
        <v>3.214285714</v>
      </c>
      <c r="I79" s="78"/>
      <c r="J79" s="87">
        <f t="shared" si="72"/>
        <v>17.85714286</v>
      </c>
      <c r="K79" s="77">
        <f t="shared" si="73"/>
        <v>5.357142857</v>
      </c>
      <c r="L79" s="78"/>
      <c r="M79" s="87">
        <f t="shared" si="74"/>
        <v>14.28571429</v>
      </c>
      <c r="N79" s="77">
        <f t="shared" si="75"/>
        <v>4.285714286</v>
      </c>
      <c r="O79" s="78"/>
      <c r="P79" s="87">
        <f t="shared" si="76"/>
        <v>14.28571429</v>
      </c>
      <c r="Q79" s="77">
        <f t="shared" si="77"/>
        <v>4.285714286</v>
      </c>
      <c r="R79" s="78"/>
      <c r="S79" s="87">
        <f t="shared" si="78"/>
        <v>25</v>
      </c>
      <c r="T79" s="77">
        <f t="shared" si="79"/>
        <v>7.5</v>
      </c>
      <c r="U79" s="78"/>
      <c r="V79" s="87">
        <f t="shared" si="80"/>
        <v>7.142857143</v>
      </c>
      <c r="W79" s="77">
        <f t="shared" si="81"/>
        <v>2.142857143</v>
      </c>
      <c r="X79" s="78"/>
    </row>
    <row r="80" ht="15.75" customHeight="1">
      <c r="A80" s="96"/>
      <c r="B80" s="97"/>
      <c r="C80" s="98">
        <v>0.3</v>
      </c>
      <c r="D80" s="99"/>
      <c r="E80" s="100" t="str">
        <f>SUM(E76:E79)</f>
        <v>#VALUE!</v>
      </c>
      <c r="F80" s="85" t="str">
        <f>E80*$C80</f>
        <v>#VALUE!</v>
      </c>
      <c r="G80" s="101"/>
      <c r="H80" s="100">
        <f>SUM(H76:H79)</f>
        <v>11.63736264</v>
      </c>
      <c r="I80" s="85">
        <f>H80*$C80</f>
        <v>3.491208791</v>
      </c>
      <c r="J80" s="101"/>
      <c r="K80" s="100">
        <f>SUM(K76:K79)</f>
        <v>16.4032967</v>
      </c>
      <c r="L80" s="85">
        <f>K80*$C80</f>
        <v>4.920989011</v>
      </c>
      <c r="M80" s="101"/>
      <c r="N80" s="100">
        <f>SUM(N76:N79)</f>
        <v>16.08186813</v>
      </c>
      <c r="O80" s="85">
        <f>N80*$C80</f>
        <v>4.82456044</v>
      </c>
      <c r="P80" s="101"/>
      <c r="Q80" s="100">
        <f>SUM(Q76:Q79)</f>
        <v>16.97802198</v>
      </c>
      <c r="R80" s="85">
        <f>Q80*$C80</f>
        <v>5.093406593</v>
      </c>
      <c r="S80" s="101"/>
      <c r="T80" s="100">
        <f>SUM(T76:T79)</f>
        <v>16.74615385</v>
      </c>
      <c r="U80" s="85">
        <f>T80*$C80</f>
        <v>5.023846154</v>
      </c>
      <c r="V80" s="101"/>
      <c r="W80" s="100">
        <f>SUM(W76:W79)</f>
        <v>12.01593407</v>
      </c>
      <c r="X80" s="85">
        <f>W80*$C80</f>
        <v>3.60478022</v>
      </c>
    </row>
    <row r="81" ht="15.75" customHeight="1">
      <c r="A81" s="102"/>
      <c r="B81" s="103"/>
      <c r="C81" s="104"/>
      <c r="F81" s="105" t="str">
        <f>SUM(F57:F80)</f>
        <v>#VALUE!</v>
      </c>
      <c r="I81" s="105">
        <f>SUM(I57:I80)</f>
        <v>13.5734762</v>
      </c>
      <c r="L81" s="105">
        <f>SUM(L57:L80)</f>
        <v>12.93315973</v>
      </c>
      <c r="O81" s="106">
        <f>SUM(O57:O80)</f>
        <v>18.25813953</v>
      </c>
      <c r="R81" s="105">
        <f>SUM(R57:R80)</f>
        <v>16.5969082</v>
      </c>
      <c r="U81" s="105">
        <f>SUM(U57:U80)</f>
        <v>14.57990674</v>
      </c>
      <c r="X81" s="105">
        <f>SUM(X57:X80)</f>
        <v>11.03361761</v>
      </c>
    </row>
    <row r="82" ht="15.75" customHeight="1"/>
    <row r="83" ht="15.75" customHeight="1">
      <c r="E83" s="58" t="s">
        <v>69</v>
      </c>
    </row>
    <row r="84" ht="15.75" customHeight="1">
      <c r="E84" s="58" t="s">
        <v>70</v>
      </c>
    </row>
    <row r="85" ht="15.75" customHeight="1"/>
    <row r="86" ht="15.75" customHeight="1"/>
    <row r="87" ht="15.75" customHeight="1">
      <c r="A87" s="57" t="s">
        <v>71</v>
      </c>
    </row>
    <row r="88" ht="15.75" customHeight="1">
      <c r="A88" s="57" t="s">
        <v>72</v>
      </c>
    </row>
    <row r="89" ht="15.75" customHeight="1">
      <c r="A89" s="57" t="s">
        <v>73</v>
      </c>
    </row>
    <row r="90" ht="15.75" customHeight="1">
      <c r="A90" s="57" t="s">
        <v>74</v>
      </c>
    </row>
    <row r="91" ht="15.75" customHeight="1">
      <c r="A91" s="58" t="s">
        <v>75</v>
      </c>
    </row>
    <row r="92" ht="15.75" customHeight="1">
      <c r="A92" s="58" t="s">
        <v>76</v>
      </c>
    </row>
    <row r="93" ht="15.75" customHeight="1">
      <c r="A93" s="57"/>
    </row>
    <row r="94" ht="15.75" customHeight="1">
      <c r="A94" s="58" t="s">
        <v>77</v>
      </c>
    </row>
    <row r="95" ht="15.75" customHeight="1">
      <c r="A95" s="107"/>
    </row>
    <row r="96" ht="15.75" customHeight="1">
      <c r="A96" s="58" t="s">
        <v>78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3">
    <mergeCell ref="C28:D28"/>
    <mergeCell ref="E28:F28"/>
    <mergeCell ref="B55:C55"/>
    <mergeCell ref="D55:F55"/>
    <mergeCell ref="E2:F2"/>
    <mergeCell ref="C2:D2"/>
    <mergeCell ref="I2:J2"/>
    <mergeCell ref="G2:H2"/>
    <mergeCell ref="O2:P2"/>
    <mergeCell ref="M2:N2"/>
    <mergeCell ref="K2:L2"/>
    <mergeCell ref="K28:L28"/>
    <mergeCell ref="O28:P28"/>
    <mergeCell ref="M28:N28"/>
    <mergeCell ref="G55:I55"/>
    <mergeCell ref="J55:L55"/>
    <mergeCell ref="I28:J28"/>
    <mergeCell ref="G28:H28"/>
    <mergeCell ref="Q27:Q29"/>
    <mergeCell ref="S55:U55"/>
    <mergeCell ref="V55:X55"/>
    <mergeCell ref="M55:O55"/>
    <mergeCell ref="P55:R55"/>
  </mergeCells>
  <hyperlinks>
    <hyperlink r:id="rId1" ref="C23"/>
    <hyperlink r:id="rId2" ref="E23"/>
    <hyperlink r:id="rId3" ref="G23"/>
    <hyperlink r:id="rId4" ref="I23"/>
    <hyperlink r:id="rId5" ref="K23"/>
    <hyperlink r:id="rId6" ref="M23"/>
    <hyperlink r:id="rId7" ref="O23"/>
  </hyperlinks>
  <printOptions/>
  <pageMargins bottom="0.75" footer="0.0" header="0.0" left="0.7" right="0.7" top="0.75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