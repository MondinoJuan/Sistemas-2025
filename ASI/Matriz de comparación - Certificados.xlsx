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  <extLst>
    <ext uri="GoogleSheetsCustomDataVersion1">
      <go:sheetsCustomData xmlns:go="http://customooxmlschemas.google.com/" r:id="rId6" roundtripDataSignature="AMtx7mjg8W4uwukV2XOSMiKgZM6OmjCH/g=="/>
    </ext>
  </extLst>
</workbook>
</file>

<file path=xl/sharedStrings.xml><?xml version="1.0" encoding="utf-8"?>
<sst xmlns="http://schemas.openxmlformats.org/spreadsheetml/2006/main" count="166" uniqueCount="72">
  <si>
    <t>Matriz de Valoración de Características</t>
  </si>
  <si>
    <t>Grupo/Característica</t>
  </si>
  <si>
    <t xml:space="preserve">Rango de Valores </t>
  </si>
  <si>
    <t xml:space="preserve">SYMANTEC SECURE SITE PRO </t>
  </si>
  <si>
    <t>Thawte SSL 123</t>
  </si>
  <si>
    <t>Rapid SSL</t>
  </si>
  <si>
    <t xml:space="preserve">Especificación </t>
  </si>
  <si>
    <t xml:space="preserve">Valor Asignado </t>
  </si>
  <si>
    <t>Nivel</t>
  </si>
  <si>
    <t>Seguridad</t>
  </si>
  <si>
    <t>3-4</t>
  </si>
  <si>
    <t>Confianza</t>
  </si>
  <si>
    <t>Encriptado (bits )</t>
  </si>
  <si>
    <t>128-256</t>
  </si>
  <si>
    <t>Muestra de Identidad</t>
  </si>
  <si>
    <t>Barra verde(**)</t>
  </si>
  <si>
    <t>1-2</t>
  </si>
  <si>
    <t xml:space="preserve">Compatibilidad </t>
  </si>
  <si>
    <t>Con el Algoritmo ECC(**)</t>
  </si>
  <si>
    <t xml:space="preserve">Con SAN(***)  </t>
  </si>
  <si>
    <t>Tipo</t>
  </si>
  <si>
    <t>Validación(****)</t>
  </si>
  <si>
    <t>Uso Recomendado(-)</t>
  </si>
  <si>
    <t>Evaluación</t>
  </si>
  <si>
    <t>Vulnerability Assessment(**)</t>
  </si>
  <si>
    <t>Control</t>
  </si>
  <si>
    <t>Web Site Malware Scan(**)</t>
  </si>
  <si>
    <t>Cantidad</t>
  </si>
  <si>
    <t>Dominio Protegidos</t>
  </si>
  <si>
    <t>0-1</t>
  </si>
  <si>
    <t>Seguro</t>
  </si>
  <si>
    <t>Netsure($)</t>
  </si>
  <si>
    <t>10.000-1.500.000</t>
  </si>
  <si>
    <t>Precio Unitario($)</t>
  </si>
  <si>
    <t>Precio($)</t>
  </si>
  <si>
    <t>(**): 1:SI.  2:NO</t>
  </si>
  <si>
    <t>https://www.certsuperior.com/SecureSiteProEV.aspx</t>
  </si>
  <si>
    <t>(***):1:1-250. 2:NO</t>
  </si>
  <si>
    <t>https://www.gogetssl.com/domain-validation/thawte-ssl123/</t>
  </si>
  <si>
    <t>(****):1:DV. 2:OV</t>
  </si>
  <si>
    <t>(-):1:internal systems (intranet), simple web projects. 2:e-shops, public projects</t>
  </si>
  <si>
    <t> Compatibilidad con SAN  (Nombre alternativo del Sujeto)permite proteger con un solo certificado SSL varios dominios (sujetos).</t>
  </si>
  <si>
    <t>Valores Porcentual de Característas</t>
  </si>
  <si>
    <t>Total Características</t>
  </si>
  <si>
    <t>VA</t>
  </si>
  <si>
    <t>V%C</t>
  </si>
  <si>
    <t xml:space="preserve">Confianza </t>
  </si>
  <si>
    <t>Encriptado (bit)</t>
  </si>
  <si>
    <t xml:space="preserve">Muestra de Identidad </t>
  </si>
  <si>
    <t>Barra Verde(**)</t>
  </si>
  <si>
    <t xml:space="preserve"> </t>
  </si>
  <si>
    <t>Precio Unitario</t>
  </si>
  <si>
    <t>Precio ($)</t>
  </si>
  <si>
    <t>VA=Valor Asignado</t>
  </si>
  <si>
    <t>V%C=Valor Porcentual Característica</t>
  </si>
  <si>
    <t>Matriz Ponderación de Caracteristicas</t>
  </si>
  <si>
    <t>Puntajes de Ponderación</t>
  </si>
  <si>
    <t>De la Características (%PC)</t>
  </si>
  <si>
    <t>Del Grupo (%PG)</t>
  </si>
  <si>
    <t>Puntaje para la Ponderación de Características</t>
  </si>
  <si>
    <t>VPC</t>
  </si>
  <si>
    <t>VPG</t>
  </si>
  <si>
    <t>VPC Valor de Poneración de Caracteristica</t>
  </si>
  <si>
    <t>VPG Valor de Ponderación de Grupos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</si>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</sst>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sz val="9.0"/>
      <color rgb="FF111111"/>
      <name val="Arial"/>
    </font>
    <font>
      <u/>
      <sz val="11.0"/>
      <color rgb="FF0000FF"/>
      <name val="Calibri"/>
    </font>
    <font>
      <sz val="9.0"/>
      <color rgb="FF000000"/>
      <name val="Arial"/>
    </font>
    <font>
      <b/>
      <sz val="11.0"/>
      <color rgb="FF000000"/>
      <name val="Calibri"/>
    </font>
    <font>
      <b/>
      <sz val="11.0"/>
      <color rgb="FF00B050"/>
      <name val="Calibri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5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2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0" fontId="2" numFmtId="0" xfId="0" applyBorder="1" applyFont="1"/>
    <xf borderId="15" fillId="0" fontId="0" numFmtId="0" xfId="0" applyBorder="1" applyFont="1"/>
    <xf borderId="16" fillId="0" fontId="0" numFmtId="0" xfId="0" applyBorder="1" applyFont="1"/>
    <xf borderId="16" fillId="0" fontId="0" numFmtId="0" xfId="0" applyAlignment="1" applyBorder="1" applyFont="1">
      <alignment horizontal="center"/>
    </xf>
    <xf borderId="17" fillId="0" fontId="0" numFmtId="0" xfId="0" applyAlignment="1" applyBorder="1" applyFont="1">
      <alignment horizontal="center"/>
    </xf>
    <xf borderId="18" fillId="0" fontId="4" numFmtId="0" xfId="0" applyAlignment="1" applyBorder="1" applyFont="1">
      <alignment horizontal="right"/>
    </xf>
    <xf borderId="19" fillId="0" fontId="0" numFmtId="49" xfId="0" applyAlignment="1" applyBorder="1" applyFont="1" applyNumberFormat="1">
      <alignment horizontal="center"/>
    </xf>
    <xf borderId="20" fillId="0" fontId="0" numFmtId="0" xfId="0" applyAlignment="1" applyBorder="1" applyFont="1">
      <alignment horizontal="center"/>
    </xf>
    <xf borderId="21" fillId="0" fontId="0" numFmtId="0" xfId="0" applyAlignment="1" applyBorder="1" applyFont="1">
      <alignment horizontal="center"/>
    </xf>
    <xf borderId="0" fillId="0" fontId="0" numFmtId="0" xfId="0" applyFont="1"/>
    <xf borderId="22" fillId="0" fontId="4" numFmtId="0" xfId="0" applyAlignment="1" applyBorder="1" applyFont="1">
      <alignment horizontal="right"/>
    </xf>
    <xf borderId="23" fillId="0" fontId="0" numFmtId="49" xfId="0" applyAlignment="1" applyBorder="1" applyFont="1" applyNumberFormat="1">
      <alignment horizontal="center"/>
    </xf>
    <xf borderId="24" fillId="0" fontId="0" numFmtId="0" xfId="0" applyAlignment="1" applyBorder="1" applyFont="1">
      <alignment horizontal="center"/>
    </xf>
    <xf borderId="25" fillId="0" fontId="0" numFmtId="0" xfId="0" applyAlignment="1" applyBorder="1" applyFont="1">
      <alignment horizontal="center"/>
    </xf>
    <xf borderId="15" fillId="0" fontId="0" numFmtId="0" xfId="0" applyAlignment="1" applyBorder="1" applyFont="1">
      <alignment horizontal="center"/>
    </xf>
    <xf borderId="10" fillId="0" fontId="4" numFmtId="0" xfId="0" applyAlignment="1" applyBorder="1" applyFont="1">
      <alignment horizontal="right"/>
    </xf>
    <xf borderId="22" fillId="0" fontId="5" numFmtId="0" xfId="0" applyAlignment="1" applyBorder="1" applyFont="1">
      <alignment horizontal="right"/>
    </xf>
    <xf borderId="23" fillId="0" fontId="0" numFmtId="0" xfId="0" applyAlignment="1" applyBorder="1" applyFont="1">
      <alignment horizontal="center"/>
    </xf>
    <xf borderId="24" fillId="0" fontId="0" numFmtId="3" xfId="0" applyAlignment="1" applyBorder="1" applyFont="1" applyNumberFormat="1">
      <alignment horizontal="center"/>
    </xf>
    <xf borderId="25" fillId="0" fontId="0" numFmtId="3" xfId="0" applyAlignment="1" applyBorder="1" applyFont="1" applyNumberFormat="1">
      <alignment horizontal="center"/>
    </xf>
    <xf borderId="17" fillId="0" fontId="0" numFmtId="0" xfId="0" applyBorder="1" applyFont="1"/>
    <xf borderId="26" fillId="0" fontId="0" numFmtId="0" xfId="0" applyBorder="1" applyFont="1"/>
    <xf borderId="27" fillId="0" fontId="0" numFmtId="3" xfId="0" applyBorder="1" applyFont="1" applyNumberFormat="1"/>
    <xf borderId="27" fillId="0" fontId="0" numFmtId="0" xfId="0" applyBorder="1" applyFont="1"/>
    <xf borderId="28" fillId="0" fontId="0" numFmtId="0" xfId="0" applyBorder="1" applyFont="1"/>
    <xf borderId="0" fillId="0" fontId="4" numFmtId="0" xfId="0" applyAlignment="1" applyFont="1">
      <alignment horizontal="left" vertical="top"/>
    </xf>
    <xf borderId="0" fillId="0" fontId="6" numFmtId="0" xfId="0" applyFont="1"/>
    <xf borderId="0" fillId="0" fontId="4" numFmtId="0" xfId="0" applyAlignment="1" applyFont="1">
      <alignment horizontal="left"/>
    </xf>
    <xf borderId="0" fillId="0" fontId="7" numFmtId="0" xfId="0" applyFont="1"/>
    <xf borderId="29" fillId="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31" fillId="0" fontId="2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32" fillId="0" fontId="1" numFmtId="0" xfId="0" applyBorder="1" applyFont="1"/>
    <xf borderId="17" fillId="0" fontId="1" numFmtId="0" xfId="0" applyBorder="1" applyFont="1"/>
    <xf borderId="15" fillId="0" fontId="1" numFmtId="0" xfId="0" applyBorder="1" applyFont="1"/>
    <xf borderId="33" fillId="0" fontId="0" numFmtId="0" xfId="0" applyBorder="1" applyFont="1"/>
    <xf borderId="34" fillId="0" fontId="2" numFmtId="0" xfId="0" applyBorder="1" applyFont="1"/>
    <xf borderId="18" fillId="0" fontId="0" numFmtId="0" xfId="0" applyBorder="1" applyFont="1"/>
    <xf borderId="35" fillId="0" fontId="0" numFmtId="0" xfId="0" applyBorder="1" applyFont="1"/>
    <xf borderId="21" fillId="0" fontId="0" numFmtId="0" xfId="0" applyBorder="1" applyFont="1"/>
    <xf borderId="19" fillId="0" fontId="0" numFmtId="0" xfId="0" applyBorder="1" applyFont="1"/>
    <xf borderId="36" fillId="0" fontId="0" numFmtId="0" xfId="0" applyBorder="1" applyFont="1"/>
    <xf borderId="34" fillId="0" fontId="4" numFmtId="0" xfId="0" applyAlignment="1" applyBorder="1" applyFont="1">
      <alignment horizontal="right"/>
    </xf>
    <xf borderId="18" fillId="0" fontId="0" numFmtId="0" xfId="0" applyAlignment="1" applyBorder="1" applyFont="1">
      <alignment horizontal="center"/>
    </xf>
    <xf borderId="35" fillId="0" fontId="0" numFmtId="0" xfId="0" applyAlignment="1" applyBorder="1" applyFont="1">
      <alignment horizontal="center"/>
    </xf>
    <xf borderId="36" fillId="0" fontId="0" numFmtId="0" xfId="0" applyAlignment="1" applyBorder="1" applyFont="1">
      <alignment horizontal="center"/>
    </xf>
    <xf borderId="9" fillId="0" fontId="4" numFmtId="0" xfId="0" applyAlignment="1" applyBorder="1" applyFont="1">
      <alignment horizontal="right"/>
    </xf>
    <xf borderId="37" fillId="0" fontId="0" numFmtId="0" xfId="0" applyAlignment="1" applyBorder="1" applyFont="1">
      <alignment horizontal="center"/>
    </xf>
    <xf borderId="38" fillId="0" fontId="4" numFmtId="0" xfId="0" applyAlignment="1" applyBorder="1" applyFont="1">
      <alignment horizontal="right"/>
    </xf>
    <xf borderId="22" fillId="0" fontId="0" numFmtId="0" xfId="0" applyBorder="1" applyFont="1"/>
    <xf borderId="38" fillId="0" fontId="0" numFmtId="0" xfId="0" applyAlignment="1" applyBorder="1" applyFont="1">
      <alignment horizontal="center"/>
    </xf>
    <xf borderId="39" fillId="0" fontId="0" numFmtId="0" xfId="0" applyAlignment="1" applyBorder="1" applyFont="1">
      <alignment horizontal="center"/>
    </xf>
    <xf borderId="34" fillId="0" fontId="0" numFmtId="0" xfId="0" applyAlignment="1" applyBorder="1" applyFont="1">
      <alignment horizontal="center"/>
    </xf>
    <xf borderId="40" fillId="0" fontId="0" numFmtId="0" xfId="0" applyAlignment="1" applyBorder="1" applyFont="1">
      <alignment horizontal="center"/>
    </xf>
    <xf borderId="41" fillId="0" fontId="0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41" fillId="0" fontId="0" numFmtId="3" xfId="0" applyAlignment="1" applyBorder="1" applyFont="1" applyNumberFormat="1">
      <alignment horizontal="center"/>
    </xf>
    <xf borderId="42" fillId="0" fontId="0" numFmtId="3" xfId="0" applyBorder="1" applyFont="1" applyNumberFormat="1"/>
    <xf borderId="37" fillId="0" fontId="0" numFmtId="3" xfId="0" applyAlignment="1" applyBorder="1" applyFont="1" applyNumberFormat="1">
      <alignment horizontal="center"/>
    </xf>
    <xf borderId="39" fillId="0" fontId="0" numFmtId="3" xfId="0" applyAlignment="1" applyBorder="1" applyFont="1" applyNumberFormat="1">
      <alignment horizontal="center"/>
    </xf>
    <xf borderId="38" fillId="0" fontId="2" numFmtId="0" xfId="0" applyBorder="1" applyFont="1"/>
    <xf borderId="37" fillId="0" fontId="0" numFmtId="0" xfId="0" applyBorder="1" applyFont="1"/>
    <xf borderId="25" fillId="0" fontId="0" numFmtId="0" xfId="0" applyBorder="1" applyFont="1"/>
    <xf borderId="14" fillId="0" fontId="4" numFmtId="0" xfId="0" applyAlignment="1" applyBorder="1" applyFont="1">
      <alignment horizontal="right"/>
    </xf>
    <xf borderId="10" fillId="0" fontId="0" numFmtId="0" xfId="0" applyBorder="1" applyFont="1"/>
    <xf borderId="43" fillId="0" fontId="0" numFmtId="3" xfId="0" applyAlignment="1" applyBorder="1" applyFont="1" applyNumberFormat="1">
      <alignment horizontal="center"/>
    </xf>
    <xf borderId="44" fillId="0" fontId="0" numFmtId="0" xfId="0" applyBorder="1" applyFont="1"/>
    <xf borderId="43" fillId="0" fontId="0" numFmtId="0" xfId="0" applyAlignment="1" applyBorder="1" applyFont="1">
      <alignment horizontal="center"/>
    </xf>
    <xf borderId="44" fillId="0" fontId="0" numFmtId="3" xfId="0" applyAlignment="1" applyBorder="1" applyFont="1" applyNumberFormat="1">
      <alignment horizontal="center"/>
    </xf>
    <xf borderId="0" fillId="0" fontId="4" numFmtId="0" xfId="0" applyAlignment="1" applyFont="1">
      <alignment horizontal="right"/>
    </xf>
    <xf borderId="0" fillId="0" fontId="0" numFmtId="0" xfId="0" applyAlignment="1" applyFont="1">
      <alignment horizontal="center"/>
    </xf>
    <xf borderId="0" fillId="0" fontId="2" numFmtId="0" xfId="0" applyFont="1"/>
    <xf borderId="6" fillId="0" fontId="1" numFmtId="0" xfId="0" applyBorder="1" applyFont="1"/>
    <xf borderId="45" fillId="0" fontId="2" numFmtId="0" xfId="0" applyAlignment="1" applyBorder="1" applyFont="1">
      <alignment horizontal="center"/>
    </xf>
    <xf borderId="46" fillId="0" fontId="3" numFmtId="0" xfId="0" applyBorder="1" applyFont="1"/>
    <xf borderId="14" fillId="0" fontId="2" numFmtId="0" xfId="0" applyAlignment="1" applyBorder="1" applyFont="1">
      <alignment horizontal="center"/>
    </xf>
    <xf borderId="42" fillId="0" fontId="2" numFmtId="0" xfId="0" applyBorder="1" applyFont="1"/>
    <xf borderId="29" fillId="0" fontId="0" numFmtId="0" xfId="0" applyBorder="1" applyFont="1"/>
    <xf borderId="18" fillId="0" fontId="0" numFmtId="9" xfId="0" applyAlignment="1" applyBorder="1" applyFont="1" applyNumberFormat="1">
      <alignment horizontal="center"/>
    </xf>
    <xf borderId="22" fillId="0" fontId="0" numFmtId="9" xfId="0" applyAlignment="1" applyBorder="1" applyFont="1" applyNumberFormat="1">
      <alignment horizontal="center"/>
    </xf>
    <xf borderId="4" fillId="0" fontId="0" numFmtId="9" xfId="0" applyBorder="1" applyFont="1" applyNumberFormat="1"/>
    <xf borderId="47" fillId="0" fontId="0" numFmtId="9" xfId="0" applyBorder="1" applyFont="1" applyNumberFormat="1"/>
    <xf borderId="4" fillId="0" fontId="0" numFmtId="0" xfId="0" applyBorder="1" applyFont="1"/>
    <xf borderId="47" fillId="0" fontId="0" numFmtId="0" xfId="0" applyBorder="1" applyFont="1"/>
    <xf borderId="34" fillId="0" fontId="0" numFmtId="9" xfId="0" applyAlignment="1" applyBorder="1" applyFont="1" applyNumberFormat="1">
      <alignment horizontal="center"/>
    </xf>
    <xf borderId="18" fillId="0" fontId="0" numFmtId="9" xfId="0" applyBorder="1" applyFont="1" applyNumberFormat="1"/>
    <xf borderId="34" fillId="0" fontId="0" numFmtId="9" xfId="0" applyBorder="1" applyFont="1" applyNumberFormat="1"/>
    <xf borderId="9" fillId="0" fontId="0" numFmtId="9" xfId="0" applyAlignment="1" applyBorder="1" applyFont="1" applyNumberFormat="1">
      <alignment horizontal="center"/>
    </xf>
    <xf borderId="10" fillId="0" fontId="0" numFmtId="9" xfId="0" applyBorder="1" applyFont="1" applyNumberFormat="1"/>
    <xf borderId="0" fillId="0" fontId="0" numFmtId="9" xfId="0" applyAlignment="1" applyFont="1" applyNumberFormat="1">
      <alignment horizontal="center"/>
    </xf>
    <xf borderId="14" fillId="0" fontId="0" numFmtId="9" xfId="0" applyBorder="1" applyFont="1" applyNumberFormat="1"/>
    <xf borderId="8" fillId="0" fontId="3" numFmtId="0" xfId="0" applyBorder="1" applyFont="1"/>
    <xf borderId="48" fillId="0" fontId="2" numFmtId="0" xfId="0" applyAlignment="1" applyBorder="1" applyFont="1">
      <alignment horizontal="center"/>
    </xf>
    <xf borderId="49" fillId="0" fontId="2" numFmtId="0" xfId="0" applyAlignment="1" applyBorder="1" applyFont="1">
      <alignment horizontal="center"/>
    </xf>
    <xf borderId="34" fillId="0" fontId="0" numFmtId="0" xfId="0" applyBorder="1" applyFont="1"/>
    <xf borderId="5" fillId="0" fontId="0" numFmtId="0" xfId="0" applyBorder="1" applyFont="1"/>
    <xf borderId="50" fillId="0" fontId="0" numFmtId="0" xfId="0" applyBorder="1" applyFont="1"/>
    <xf borderId="50" fillId="0" fontId="0" numFmtId="0" xfId="0" applyAlignment="1" applyBorder="1" applyFont="1">
      <alignment horizontal="center"/>
    </xf>
    <xf borderId="38" fillId="0" fontId="0" numFmtId="9" xfId="0" applyAlignment="1" applyBorder="1" applyFont="1" applyNumberFormat="1">
      <alignment horizontal="center"/>
    </xf>
    <xf borderId="22" fillId="0" fontId="0" numFmtId="0" xfId="0" applyAlignment="1" applyBorder="1" applyFont="1">
      <alignment horizontal="center"/>
    </xf>
    <xf borderId="21" fillId="0" fontId="0" numFmtId="0" xfId="0" applyAlignment="1" applyBorder="1" applyFont="1">
      <alignment horizontal="right"/>
    </xf>
    <xf borderId="50" fillId="0" fontId="0" numFmtId="0" xfId="0" applyAlignment="1" applyBorder="1" applyFont="1">
      <alignment horizontal="right"/>
    </xf>
    <xf borderId="51" fillId="0" fontId="0" numFmtId="0" xfId="0" applyAlignment="1" applyBorder="1" applyFont="1">
      <alignment horizontal="center"/>
    </xf>
    <xf borderId="38" fillId="0" fontId="0" numFmtId="9" xfId="0" applyBorder="1" applyFont="1" applyNumberFormat="1"/>
    <xf borderId="25" fillId="0" fontId="0" numFmtId="0" xfId="0" applyAlignment="1" applyBorder="1" applyFont="1">
      <alignment horizontal="right"/>
    </xf>
    <xf borderId="51" fillId="0" fontId="0" numFmtId="0" xfId="0" applyAlignment="1" applyBorder="1" applyFont="1">
      <alignment horizontal="right"/>
    </xf>
    <xf borderId="10" fillId="0" fontId="0" numFmtId="0" xfId="0" applyAlignment="1" applyBorder="1" applyFont="1">
      <alignment horizontal="center"/>
    </xf>
    <xf borderId="29" fillId="0" fontId="0" numFmtId="9" xfId="0" applyAlignment="1" applyBorder="1" applyFont="1" applyNumberFormat="1">
      <alignment horizontal="center"/>
    </xf>
    <xf borderId="18" fillId="0" fontId="0" numFmtId="0" xfId="0" applyAlignment="1" applyBorder="1" applyFont="1">
      <alignment horizontal="right"/>
    </xf>
    <xf borderId="52" fillId="0" fontId="0" numFmtId="0" xfId="0" applyAlignment="1" applyBorder="1" applyFont="1">
      <alignment horizontal="right"/>
    </xf>
    <xf borderId="20" fillId="0" fontId="0" numFmtId="0" xfId="0" applyAlignment="1" applyBorder="1" applyFont="1">
      <alignment horizontal="right"/>
    </xf>
    <xf borderId="48" fillId="0" fontId="0" numFmtId="0" xfId="0" applyAlignment="1" applyBorder="1" applyFont="1">
      <alignment horizontal="center"/>
    </xf>
    <xf borderId="42" fillId="0" fontId="0" numFmtId="9" xfId="0" applyBorder="1" applyFont="1" applyNumberFormat="1"/>
    <xf borderId="53" fillId="0" fontId="0" numFmtId="0" xfId="0" applyBorder="1" applyFont="1"/>
    <xf borderId="53" fillId="0" fontId="0" numFmtId="0" xfId="0" applyAlignment="1" applyBorder="1" applyFont="1">
      <alignment horizontal="center"/>
    </xf>
    <xf borderId="13" fillId="0" fontId="0" numFmtId="0" xfId="0" applyAlignment="1" applyBorder="1" applyFont="1">
      <alignment horizontal="right"/>
    </xf>
    <xf borderId="42" fillId="0" fontId="0" numFmtId="0" xfId="0" applyAlignment="1" applyBorder="1" applyFont="1">
      <alignment horizontal="center"/>
    </xf>
    <xf borderId="20" fillId="0" fontId="0" numFmtId="0" xfId="0" applyBorder="1" applyFont="1"/>
    <xf borderId="48" fillId="0" fontId="0" numFmtId="0" xfId="0" applyAlignment="1" applyBorder="1" applyFont="1">
      <alignment horizontal="right"/>
    </xf>
    <xf borderId="14" fillId="0" fontId="8" numFmtId="0" xfId="0" applyAlignment="1" applyBorder="1" applyFont="1">
      <alignment horizontal="center"/>
    </xf>
    <xf borderId="53" fillId="0" fontId="9" numFmtId="0" xfId="0" applyAlignment="1" applyBorder="1" applyFont="1">
      <alignment horizontal="center"/>
    </xf>
    <xf borderId="14" fillId="0" fontId="10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0" numFmtId="9" xfId="0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rtsuperior.com/SecureSiteProEV.aspx" TargetMode="External"/><Relationship Id="rId2" Type="http://schemas.openxmlformats.org/officeDocument/2006/relationships/hyperlink" Target="https://www.gogetssl.com/domain-validation/thawte-ssl123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9.57"/>
    <col customWidth="1" min="3" max="3" width="15.43"/>
    <col customWidth="1" min="4" max="4" width="14.71"/>
    <col customWidth="1" min="5" max="5" width="13.57"/>
    <col customWidth="1" min="6" max="6" width="13.71"/>
    <col customWidth="1" min="7" max="7" width="14.14"/>
    <col customWidth="1" min="8" max="8" width="14.71"/>
    <col customWidth="1" min="9" max="9" width="15.14"/>
    <col customWidth="1" min="10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7.25" customHeight="1">
      <c r="A2" s="4" t="s">
        <v>1</v>
      </c>
      <c r="B2" s="5" t="s">
        <v>2</v>
      </c>
      <c r="C2" s="6" t="s">
        <v>3</v>
      </c>
      <c r="D2" s="7"/>
      <c r="E2" s="6" t="s">
        <v>4</v>
      </c>
      <c r="F2" s="7"/>
      <c r="G2" s="8" t="s">
        <v>5</v>
      </c>
      <c r="H2" s="7"/>
    </row>
    <row r="3">
      <c r="A3" s="9"/>
      <c r="B3" s="10"/>
      <c r="C3" s="11" t="s">
        <v>6</v>
      </c>
      <c r="D3" s="12" t="s">
        <v>7</v>
      </c>
      <c r="E3" s="11" t="s">
        <v>6</v>
      </c>
      <c r="F3" s="12" t="s">
        <v>7</v>
      </c>
      <c r="G3" s="13" t="s">
        <v>6</v>
      </c>
      <c r="H3" s="14" t="s">
        <v>7</v>
      </c>
    </row>
    <row r="4">
      <c r="A4" s="15" t="s">
        <v>8</v>
      </c>
      <c r="B4" s="16"/>
      <c r="C4" s="17"/>
      <c r="D4" s="17"/>
      <c r="E4" s="17"/>
      <c r="F4" s="17"/>
      <c r="G4" s="18"/>
      <c r="H4" s="19"/>
    </row>
    <row r="5">
      <c r="A5" s="20" t="s">
        <v>9</v>
      </c>
      <c r="B5" s="21" t="s">
        <v>10</v>
      </c>
      <c r="C5" s="22">
        <v>4.0</v>
      </c>
      <c r="D5" s="22">
        <v>4.0</v>
      </c>
      <c r="E5" s="22">
        <v>4.0</v>
      </c>
      <c r="F5" s="22">
        <v>4.0</v>
      </c>
      <c r="G5" s="22">
        <v>4.0</v>
      </c>
      <c r="H5" s="23">
        <v>4.0</v>
      </c>
    </row>
    <row r="6">
      <c r="A6" s="20" t="s">
        <v>11</v>
      </c>
      <c r="B6" s="21" t="s">
        <v>10</v>
      </c>
      <c r="C6" s="22">
        <v>4.0</v>
      </c>
      <c r="D6" s="22">
        <v>4.0</v>
      </c>
      <c r="E6" s="22">
        <v>4.0</v>
      </c>
      <c r="F6" s="22">
        <v>4.0</v>
      </c>
      <c r="G6" s="22">
        <v>4.0</v>
      </c>
      <c r="H6" s="23">
        <v>4.0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12</v>
      </c>
      <c r="B7" s="26" t="s">
        <v>13</v>
      </c>
      <c r="C7" s="27">
        <v>128.0</v>
      </c>
      <c r="D7" s="27">
        <v>128.0</v>
      </c>
      <c r="E7" s="27">
        <v>256.0</v>
      </c>
      <c r="F7" s="27">
        <v>256.0</v>
      </c>
      <c r="G7" s="27">
        <v>256.0</v>
      </c>
      <c r="H7" s="28">
        <v>256.0</v>
      </c>
    </row>
    <row r="8">
      <c r="A8" s="15" t="s">
        <v>14</v>
      </c>
      <c r="B8" s="29"/>
      <c r="C8" s="18"/>
      <c r="D8" s="18"/>
      <c r="E8" s="18"/>
      <c r="F8" s="18"/>
      <c r="G8" s="18"/>
      <c r="H8" s="19"/>
    </row>
    <row r="9">
      <c r="A9" s="25" t="s">
        <v>15</v>
      </c>
      <c r="B9" s="26" t="s">
        <v>16</v>
      </c>
      <c r="C9" s="27">
        <v>2.0</v>
      </c>
      <c r="D9" s="27">
        <v>2.0</v>
      </c>
      <c r="E9" s="27">
        <v>2.0</v>
      </c>
      <c r="F9" s="27">
        <v>2.0</v>
      </c>
      <c r="G9" s="27">
        <v>2.0</v>
      </c>
      <c r="H9" s="28">
        <v>2.0</v>
      </c>
      <c r="J9" s="24"/>
    </row>
    <row r="10">
      <c r="A10" s="15" t="s">
        <v>17</v>
      </c>
      <c r="B10" s="16"/>
      <c r="C10" s="18"/>
      <c r="D10" s="18"/>
      <c r="E10" s="18"/>
      <c r="F10" s="18"/>
      <c r="G10" s="18"/>
      <c r="H10" s="19"/>
      <c r="J10" s="24"/>
    </row>
    <row r="11">
      <c r="A11" s="20" t="s">
        <v>18</v>
      </c>
      <c r="B11" s="21" t="s">
        <v>16</v>
      </c>
      <c r="C11" s="22">
        <v>2.0</v>
      </c>
      <c r="D11" s="22">
        <v>2.0</v>
      </c>
      <c r="E11" s="22">
        <v>2.0</v>
      </c>
      <c r="F11" s="22">
        <v>2.0</v>
      </c>
      <c r="G11" s="22">
        <v>2.0</v>
      </c>
      <c r="H11" s="23">
        <v>2.0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30" t="s">
        <v>19</v>
      </c>
      <c r="B12" s="26" t="s">
        <v>16</v>
      </c>
      <c r="C12" s="27">
        <v>1.0</v>
      </c>
      <c r="D12" s="27">
        <v>1.0</v>
      </c>
      <c r="E12" s="27">
        <v>2.0</v>
      </c>
      <c r="F12" s="27">
        <v>2.0</v>
      </c>
      <c r="G12" s="27">
        <v>2.0</v>
      </c>
      <c r="H12" s="28">
        <v>2.0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15" t="s">
        <v>20</v>
      </c>
      <c r="B13" s="16"/>
      <c r="C13" s="18"/>
      <c r="D13" s="18"/>
      <c r="E13" s="18"/>
      <c r="F13" s="18"/>
      <c r="G13" s="18"/>
      <c r="H13" s="19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0" t="s">
        <v>21</v>
      </c>
      <c r="B14" s="21" t="s">
        <v>16</v>
      </c>
      <c r="C14" s="22">
        <v>2.0</v>
      </c>
      <c r="D14" s="22">
        <v>2.0</v>
      </c>
      <c r="E14" s="22">
        <v>1.0</v>
      </c>
      <c r="F14" s="22">
        <v>1.0</v>
      </c>
      <c r="G14" s="22">
        <v>1.0</v>
      </c>
      <c r="H14" s="23">
        <v>1.0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22</v>
      </c>
      <c r="B15" s="26" t="s">
        <v>16</v>
      </c>
      <c r="C15" s="27">
        <v>2.0</v>
      </c>
      <c r="D15" s="27">
        <v>2.0</v>
      </c>
      <c r="E15" s="27">
        <v>1.0</v>
      </c>
      <c r="F15" s="27">
        <v>1.0</v>
      </c>
      <c r="G15" s="27">
        <v>1.0</v>
      </c>
      <c r="H15" s="28">
        <v>1.0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5" t="s">
        <v>23</v>
      </c>
      <c r="B16" s="16"/>
      <c r="C16" s="18"/>
      <c r="D16" s="18"/>
      <c r="E16" s="18"/>
      <c r="F16" s="18"/>
      <c r="G16" s="18"/>
      <c r="H16" s="19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0" t="s">
        <v>24</v>
      </c>
      <c r="B17" s="26" t="s">
        <v>16</v>
      </c>
      <c r="C17" s="27">
        <v>2.0</v>
      </c>
      <c r="D17" s="27">
        <v>2.0</v>
      </c>
      <c r="E17" s="27">
        <v>2.0</v>
      </c>
      <c r="F17" s="27">
        <v>2.0</v>
      </c>
      <c r="G17" s="27">
        <v>2.0</v>
      </c>
      <c r="H17" s="28">
        <v>2.0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15" t="s">
        <v>25</v>
      </c>
      <c r="B18" s="16"/>
      <c r="C18" s="18"/>
      <c r="D18" s="18"/>
      <c r="E18" s="18"/>
      <c r="F18" s="18"/>
      <c r="G18" s="18"/>
      <c r="H18" s="19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1" t="s">
        <v>26</v>
      </c>
      <c r="B19" s="26" t="s">
        <v>16</v>
      </c>
      <c r="C19" s="27">
        <v>1.0</v>
      </c>
      <c r="D19" s="27">
        <v>1.0</v>
      </c>
      <c r="E19" s="27">
        <v>2.0</v>
      </c>
      <c r="F19" s="27">
        <v>2.0</v>
      </c>
      <c r="G19" s="27">
        <v>2.0</v>
      </c>
      <c r="H19" s="28">
        <v>2.0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15" t="s">
        <v>27</v>
      </c>
      <c r="B20" s="16"/>
      <c r="C20" s="18"/>
      <c r="D20" s="18"/>
      <c r="E20" s="18"/>
      <c r="F20" s="18"/>
      <c r="G20" s="18"/>
      <c r="H20" s="19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0" t="s">
        <v>28</v>
      </c>
      <c r="B21" s="32" t="s">
        <v>29</v>
      </c>
      <c r="C21" s="27">
        <v>1.0</v>
      </c>
      <c r="D21" s="27">
        <v>1.0</v>
      </c>
      <c r="E21" s="27">
        <v>1.0</v>
      </c>
      <c r="F21" s="27">
        <v>1.0</v>
      </c>
      <c r="G21" s="27">
        <v>1.0</v>
      </c>
      <c r="H21" s="28">
        <v>1.0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15" t="s">
        <v>30</v>
      </c>
      <c r="B22" s="16"/>
      <c r="C22" s="18"/>
      <c r="D22" s="18"/>
      <c r="E22" s="18"/>
      <c r="F22" s="18"/>
      <c r="G22" s="18"/>
      <c r="H22" s="19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30" t="s">
        <v>31</v>
      </c>
      <c r="B23" s="32" t="s">
        <v>32</v>
      </c>
      <c r="C23" s="33">
        <v>1500000.0</v>
      </c>
      <c r="D23" s="33">
        <v>1500000.0</v>
      </c>
      <c r="E23" s="33">
        <v>500000.0</v>
      </c>
      <c r="F23" s="33">
        <v>500000.0</v>
      </c>
      <c r="G23" s="33">
        <v>10000.0</v>
      </c>
      <c r="H23" s="34">
        <v>10000.0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15" t="s">
        <v>33</v>
      </c>
      <c r="B24" s="16"/>
      <c r="C24" s="17"/>
      <c r="D24" s="17"/>
      <c r="E24" s="17"/>
      <c r="F24" s="17"/>
      <c r="G24" s="17"/>
      <c r="H24" s="35">
        <v>805.0</v>
      </c>
    </row>
    <row r="25" ht="15.75" customHeight="1">
      <c r="A25" s="30" t="s">
        <v>34</v>
      </c>
      <c r="B25" s="36"/>
      <c r="C25" s="37">
        <v>28376.0</v>
      </c>
      <c r="D25" s="37">
        <v>28376.0</v>
      </c>
      <c r="E25" s="37">
        <v>2023.0</v>
      </c>
      <c r="F25" s="38">
        <v>2023.0</v>
      </c>
      <c r="G25" s="38">
        <v>790.0</v>
      </c>
      <c r="H25" s="39">
        <v>790.0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40" t="s">
        <v>35</v>
      </c>
      <c r="B26" s="24"/>
      <c r="C26" s="41" t="s">
        <v>36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42" t="s">
        <v>37</v>
      </c>
      <c r="B27" s="24"/>
      <c r="C27" s="24"/>
      <c r="D27" s="24"/>
      <c r="E27" s="41" t="s">
        <v>38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42" t="s">
        <v>39</v>
      </c>
      <c r="B28" s="24"/>
      <c r="C28" s="24"/>
      <c r="D28" s="24"/>
      <c r="E28" s="41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42" t="s">
        <v>40</v>
      </c>
      <c r="B29" s="24"/>
      <c r="C29" s="24"/>
      <c r="D29" s="24"/>
      <c r="E29" s="41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43" t="s">
        <v>41</v>
      </c>
      <c r="B31" s="24"/>
      <c r="C31" s="24"/>
      <c r="D31" s="24"/>
      <c r="E31" s="24"/>
      <c r="F31" s="24"/>
      <c r="G31" s="24"/>
      <c r="H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</row>
    <row r="33" ht="15.75" customHeight="1">
      <c r="A33" s="1" t="s">
        <v>42</v>
      </c>
      <c r="B33" s="2"/>
      <c r="C33" s="2"/>
      <c r="D33" s="2"/>
      <c r="E33" s="2"/>
      <c r="F33" s="2"/>
      <c r="G33" s="2"/>
      <c r="H33" s="3"/>
      <c r="I33" s="44" t="s">
        <v>43</v>
      </c>
    </row>
    <row r="34" ht="17.25" customHeight="1">
      <c r="A34" s="4" t="s">
        <v>1</v>
      </c>
      <c r="B34" s="15"/>
      <c r="C34" s="6" t="s">
        <v>3</v>
      </c>
      <c r="D34" s="7"/>
      <c r="E34" s="6" t="s">
        <v>4</v>
      </c>
      <c r="F34" s="7"/>
      <c r="G34" s="8" t="s">
        <v>5</v>
      </c>
      <c r="H34" s="7"/>
      <c r="I34" s="45"/>
    </row>
    <row r="35" ht="15.75" customHeight="1">
      <c r="A35" s="9"/>
      <c r="B35" s="10"/>
      <c r="C35" s="46" t="s">
        <v>44</v>
      </c>
      <c r="D35" s="47" t="s">
        <v>45</v>
      </c>
      <c r="E35" s="46" t="s">
        <v>44</v>
      </c>
      <c r="F35" s="47" t="s">
        <v>45</v>
      </c>
      <c r="G35" s="48" t="s">
        <v>44</v>
      </c>
      <c r="H35" s="47" t="s">
        <v>45</v>
      </c>
      <c r="I35" s="45"/>
    </row>
    <row r="36" ht="15.75" customHeight="1">
      <c r="A36" s="49"/>
      <c r="B36" s="50"/>
      <c r="C36" s="51"/>
      <c r="D36" s="52"/>
      <c r="E36" s="51"/>
      <c r="F36" s="52"/>
      <c r="G36" s="53"/>
      <c r="H36" s="52"/>
      <c r="I36" s="54"/>
    </row>
    <row r="37" ht="15.75" customHeight="1">
      <c r="A37" s="55" t="s">
        <v>8</v>
      </c>
      <c r="B37" s="56"/>
      <c r="C37" s="57"/>
      <c r="D37" s="58"/>
      <c r="E37" s="57"/>
      <c r="F37" s="58"/>
      <c r="G37" s="59"/>
      <c r="H37" s="58"/>
      <c r="I37" s="60"/>
    </row>
    <row r="38" ht="15.75" customHeight="1">
      <c r="A38" s="61" t="s">
        <v>9</v>
      </c>
      <c r="B38" s="62"/>
      <c r="C38" s="63">
        <v>4.0</v>
      </c>
      <c r="D38" s="23">
        <f t="shared" ref="D38:D40" si="1">C38*100/I38</f>
        <v>33.33333333</v>
      </c>
      <c r="E38" s="63">
        <v>4.0</v>
      </c>
      <c r="F38" s="23">
        <f t="shared" ref="F38:F40" si="2">E38*100/I38</f>
        <v>33.33333333</v>
      </c>
      <c r="G38" s="63">
        <v>4.0</v>
      </c>
      <c r="H38" s="23">
        <f t="shared" ref="H38:H40" si="3">G38*100/I38</f>
        <v>33.33333333</v>
      </c>
      <c r="I38" s="64">
        <v>12.0</v>
      </c>
    </row>
    <row r="39" ht="15.75" customHeight="1">
      <c r="A39" s="61" t="s">
        <v>46</v>
      </c>
      <c r="B39" s="62"/>
      <c r="C39" s="63">
        <v>4.0</v>
      </c>
      <c r="D39" s="23">
        <f t="shared" si="1"/>
        <v>33.33333333</v>
      </c>
      <c r="E39" s="63">
        <v>4.0</v>
      </c>
      <c r="F39" s="23">
        <f t="shared" si="2"/>
        <v>33.33333333</v>
      </c>
      <c r="G39" s="63">
        <v>4.0</v>
      </c>
      <c r="H39" s="23">
        <f t="shared" si="3"/>
        <v>33.33333333</v>
      </c>
      <c r="I39" s="64">
        <v>12.0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61" t="s">
        <v>47</v>
      </c>
      <c r="B40" s="62"/>
      <c r="C40" s="63">
        <v>128.0</v>
      </c>
      <c r="D40" s="23">
        <f t="shared" si="1"/>
        <v>20</v>
      </c>
      <c r="E40" s="63">
        <v>256.0</v>
      </c>
      <c r="F40" s="23">
        <f t="shared" si="2"/>
        <v>40</v>
      </c>
      <c r="G40" s="63">
        <v>256.0</v>
      </c>
      <c r="H40" s="23">
        <f t="shared" si="3"/>
        <v>40</v>
      </c>
      <c r="I40" s="64">
        <v>640.0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55" t="s">
        <v>48</v>
      </c>
      <c r="B41" s="62"/>
      <c r="C41" s="63"/>
      <c r="D41" s="23"/>
      <c r="E41" s="63"/>
      <c r="F41" s="23"/>
      <c r="G41" s="63"/>
      <c r="H41" s="23"/>
      <c r="I41" s="6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61" t="s">
        <v>49</v>
      </c>
      <c r="B42" s="62"/>
      <c r="C42" s="63">
        <v>2.0</v>
      </c>
      <c r="D42" s="23">
        <f>C42*100/I42</f>
        <v>33.33333333</v>
      </c>
      <c r="E42" s="63">
        <v>2.0</v>
      </c>
      <c r="F42" s="23">
        <f>E42*100/I42</f>
        <v>33.33333333</v>
      </c>
      <c r="G42" s="63">
        <v>2.0</v>
      </c>
      <c r="H42" s="23">
        <f>G42*100/I42</f>
        <v>33.33333333</v>
      </c>
      <c r="I42" s="64">
        <v>6.0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55" t="s">
        <v>17</v>
      </c>
      <c r="B43" s="62"/>
      <c r="C43" s="63"/>
      <c r="D43" s="23"/>
      <c r="E43" s="63"/>
      <c r="F43" s="23"/>
      <c r="G43" s="63"/>
      <c r="H43" s="23"/>
      <c r="I43" s="6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65" t="s">
        <v>18</v>
      </c>
      <c r="B44" s="62"/>
      <c r="C44" s="66">
        <v>2.0</v>
      </c>
      <c r="D44" s="23">
        <f t="shared" ref="D44:D45" si="4">C44*100/I44</f>
        <v>33.33333333</v>
      </c>
      <c r="E44" s="66">
        <v>2.0</v>
      </c>
      <c r="F44" s="23">
        <f t="shared" ref="F44:F45" si="5">E44*100/I44</f>
        <v>33.33333333</v>
      </c>
      <c r="G44" s="66">
        <v>2.0</v>
      </c>
      <c r="H44" s="23">
        <f t="shared" ref="H44:H45" si="6">G44*100/I44</f>
        <v>33.33333333</v>
      </c>
      <c r="I44" s="64">
        <v>6.0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65" t="s">
        <v>19</v>
      </c>
      <c r="B45" s="62"/>
      <c r="C45" s="66">
        <v>1.0</v>
      </c>
      <c r="D45" s="23">
        <f t="shared" si="4"/>
        <v>16.66666667</v>
      </c>
      <c r="E45" s="66">
        <v>2.0</v>
      </c>
      <c r="F45" s="23">
        <f t="shared" si="5"/>
        <v>33.33333333</v>
      </c>
      <c r="G45" s="66">
        <v>2.0</v>
      </c>
      <c r="H45" s="23">
        <f t="shared" si="6"/>
        <v>33.33333333</v>
      </c>
      <c r="I45" s="64">
        <v>6.0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55" t="s">
        <v>20</v>
      </c>
      <c r="B46" s="62"/>
      <c r="C46" s="66"/>
      <c r="D46" s="23"/>
      <c r="E46" s="66"/>
      <c r="F46" s="23"/>
      <c r="G46" s="66"/>
      <c r="H46" s="23"/>
      <c r="I46" s="6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65" t="s">
        <v>21</v>
      </c>
      <c r="B47" s="62"/>
      <c r="C47" s="66">
        <v>2.0</v>
      </c>
      <c r="D47" s="23">
        <f t="shared" ref="D47:D48" si="7">C47*100/I47</f>
        <v>50</v>
      </c>
      <c r="E47" s="66">
        <v>1.0</v>
      </c>
      <c r="F47" s="23">
        <f t="shared" ref="F47:F48" si="8">E47*100/I47</f>
        <v>25</v>
      </c>
      <c r="G47" s="66">
        <v>1.0</v>
      </c>
      <c r="H47" s="23">
        <f t="shared" ref="H47:H48" si="9">G47*100/I47</f>
        <v>25</v>
      </c>
      <c r="I47" s="64">
        <v>4.0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67" t="s">
        <v>22</v>
      </c>
      <c r="B48" s="62"/>
      <c r="C48" s="66">
        <v>2.0</v>
      </c>
      <c r="D48" s="23">
        <f t="shared" si="7"/>
        <v>50</v>
      </c>
      <c r="E48" s="66">
        <v>1.0</v>
      </c>
      <c r="F48" s="23">
        <f t="shared" si="8"/>
        <v>25</v>
      </c>
      <c r="G48" s="66">
        <v>1.0</v>
      </c>
      <c r="H48" s="23">
        <f t="shared" si="9"/>
        <v>25</v>
      </c>
      <c r="I48" s="64">
        <v>4.0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55" t="s">
        <v>23</v>
      </c>
      <c r="B49" s="68"/>
      <c r="C49" s="69"/>
      <c r="D49" s="28"/>
      <c r="E49" s="63"/>
      <c r="F49" s="28"/>
      <c r="G49" s="63"/>
      <c r="H49" s="28"/>
      <c r="I49" s="70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65" t="s">
        <v>24</v>
      </c>
      <c r="B50" s="68"/>
      <c r="C50" s="71">
        <v>2.0</v>
      </c>
      <c r="D50" s="28">
        <f>C50*100/I50</f>
        <v>33.33333333</v>
      </c>
      <c r="E50" s="72">
        <v>2.0</v>
      </c>
      <c r="F50" s="28">
        <f>E50*100/I50</f>
        <v>33.33333333</v>
      </c>
      <c r="G50" s="72">
        <v>2.0</v>
      </c>
      <c r="H50" s="28">
        <f>G50*100/I50</f>
        <v>33.33333333</v>
      </c>
      <c r="I50" s="70">
        <v>6.0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55" t="s">
        <v>25</v>
      </c>
      <c r="B51" s="68"/>
      <c r="C51" s="73" t="s">
        <v>50</v>
      </c>
      <c r="D51" s="28"/>
      <c r="E51" s="66"/>
      <c r="F51" s="28"/>
      <c r="G51" s="66"/>
      <c r="H51" s="28"/>
      <c r="I51" s="70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74" t="s">
        <v>26</v>
      </c>
      <c r="B52" s="68"/>
      <c r="C52" s="71">
        <v>1.0</v>
      </c>
      <c r="D52" s="28">
        <f>C52*100/I52</f>
        <v>20</v>
      </c>
      <c r="E52" s="63">
        <v>2.0</v>
      </c>
      <c r="F52" s="28">
        <f>E52*100/I52</f>
        <v>40</v>
      </c>
      <c r="G52" s="66">
        <v>2.0</v>
      </c>
      <c r="H52" s="28">
        <f>G52*100/I52</f>
        <v>40</v>
      </c>
      <c r="I52" s="70">
        <v>5.0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55" t="s">
        <v>27</v>
      </c>
      <c r="B53" s="68"/>
      <c r="C53" s="75"/>
      <c r="D53" s="28"/>
      <c r="E53" s="66"/>
      <c r="F53" s="28"/>
      <c r="G53" s="66"/>
      <c r="H53" s="28"/>
      <c r="I53" s="70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65" t="s">
        <v>28</v>
      </c>
      <c r="B54" s="68"/>
      <c r="C54" s="71">
        <v>1.0</v>
      </c>
      <c r="D54" s="28">
        <f>C54*100/I54</f>
        <v>33.33333333</v>
      </c>
      <c r="E54" s="63">
        <v>1.0</v>
      </c>
      <c r="F54" s="28">
        <f>E54*100/I54</f>
        <v>33.33333333</v>
      </c>
      <c r="G54" s="66">
        <v>1.0</v>
      </c>
      <c r="H54" s="28">
        <f>G54*100/I54</f>
        <v>33.33333333</v>
      </c>
      <c r="I54" s="70">
        <v>3.0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55" t="s">
        <v>30</v>
      </c>
      <c r="B55" s="68"/>
      <c r="C55" s="76"/>
      <c r="D55" s="28"/>
      <c r="E55" s="66"/>
      <c r="F55" s="28"/>
      <c r="G55" s="66"/>
      <c r="H55" s="28"/>
      <c r="I55" s="70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65" t="s">
        <v>31</v>
      </c>
      <c r="B56" s="68"/>
      <c r="C56" s="77">
        <v>1500000.0</v>
      </c>
      <c r="D56" s="28">
        <f>C56*100/I56</f>
        <v>74.62686567</v>
      </c>
      <c r="E56" s="77">
        <v>500000.0</v>
      </c>
      <c r="F56" s="28">
        <f>E56*100/I56</f>
        <v>24.87562189</v>
      </c>
      <c r="G56" s="77">
        <v>10000.0</v>
      </c>
      <c r="H56" s="28">
        <f>G56*100/I56</f>
        <v>0.4975124378</v>
      </c>
      <c r="I56" s="78">
        <f>C56+E56+G56</f>
        <v>2010000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79" t="s">
        <v>51</v>
      </c>
      <c r="B57" s="68"/>
      <c r="C57" s="80"/>
      <c r="D57" s="81"/>
      <c r="E57" s="80"/>
      <c r="F57" s="81"/>
      <c r="G57" s="80"/>
      <c r="H57" s="81"/>
      <c r="I57" s="70"/>
    </row>
    <row r="58" ht="15.75" customHeight="1">
      <c r="A58" s="82" t="s">
        <v>52</v>
      </c>
      <c r="B58" s="83"/>
      <c r="C58" s="84">
        <v>28376.0</v>
      </c>
      <c r="D58" s="85">
        <f>C58*100/I58</f>
        <v>90.98079451</v>
      </c>
      <c r="E58" s="84">
        <v>2023.0</v>
      </c>
      <c r="F58" s="85">
        <f>E58*100/I58</f>
        <v>6.486261182</v>
      </c>
      <c r="G58" s="86">
        <v>790.0</v>
      </c>
      <c r="H58" s="39">
        <f>G58*100/I58</f>
        <v>2.532944307</v>
      </c>
      <c r="I58" s="87">
        <f>C58+E58+G58</f>
        <v>31189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88"/>
      <c r="B59" s="24"/>
      <c r="C59" s="24"/>
      <c r="D59" s="24"/>
      <c r="E59" s="24"/>
      <c r="F59" s="24"/>
      <c r="G59" s="24"/>
      <c r="H59" s="24"/>
      <c r="I59" s="89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/>
    <row r="61" ht="15.75" customHeight="1">
      <c r="A61" s="24"/>
      <c r="B61" s="24"/>
      <c r="C61" s="90" t="s">
        <v>53</v>
      </c>
      <c r="D61" s="24"/>
      <c r="E61" s="24"/>
      <c r="F61" s="24"/>
      <c r="G61" s="24"/>
      <c r="H61" s="24"/>
      <c r="I61" s="24"/>
    </row>
    <row r="62" ht="15.75" customHeight="1">
      <c r="A62" s="24"/>
      <c r="B62" s="24"/>
      <c r="C62" s="90" t="s">
        <v>54</v>
      </c>
      <c r="D62" s="24"/>
      <c r="E62" s="24"/>
      <c r="F62" s="24"/>
      <c r="G62" s="24"/>
      <c r="H62" s="24"/>
      <c r="I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</row>
    <row r="64" ht="15.75" customHeight="1">
      <c r="A64" s="91" t="s">
        <v>55</v>
      </c>
      <c r="B64" s="92" t="s">
        <v>56</v>
      </c>
      <c r="C64" s="93"/>
      <c r="D64" s="24"/>
      <c r="E64" s="24"/>
      <c r="F64" s="24"/>
      <c r="G64" s="24"/>
      <c r="H64" s="24"/>
      <c r="I64" s="24"/>
    </row>
    <row r="65" ht="15.75" customHeight="1">
      <c r="A65" s="14" t="s">
        <v>1</v>
      </c>
      <c r="B65" s="94" t="s">
        <v>57</v>
      </c>
      <c r="C65" s="94" t="s">
        <v>58</v>
      </c>
      <c r="D65" s="24"/>
      <c r="E65" s="24"/>
      <c r="F65" s="24"/>
      <c r="G65" s="24"/>
      <c r="H65" s="24"/>
      <c r="I65" s="24"/>
      <c r="J65" s="24"/>
      <c r="K65" s="24"/>
      <c r="L65" s="24"/>
    </row>
    <row r="66" ht="15.75" customHeight="1">
      <c r="A66" s="95"/>
      <c r="B66" s="96"/>
      <c r="C66" s="96"/>
      <c r="D66" s="24"/>
      <c r="E66" s="24"/>
      <c r="F66" s="24"/>
      <c r="G66" s="24"/>
      <c r="H66" s="24"/>
      <c r="I66" s="24"/>
      <c r="J66" s="24"/>
      <c r="K66" s="24"/>
      <c r="L66" s="24"/>
    </row>
    <row r="67" ht="15.75" customHeight="1">
      <c r="A67" s="49"/>
      <c r="B67" s="56"/>
      <c r="C67" s="56"/>
      <c r="D67" s="24"/>
      <c r="E67" s="24"/>
      <c r="F67" s="24"/>
      <c r="G67" s="24"/>
      <c r="H67" s="24"/>
      <c r="I67" s="24"/>
      <c r="J67" s="24"/>
      <c r="K67" s="24"/>
      <c r="L67" s="24"/>
    </row>
    <row r="68" ht="15.75" customHeight="1">
      <c r="A68" s="55" t="s">
        <v>8</v>
      </c>
      <c r="B68" s="56"/>
      <c r="C68" s="56"/>
      <c r="D68" s="24"/>
      <c r="E68" s="24"/>
      <c r="F68" s="24"/>
      <c r="G68" s="24"/>
      <c r="H68" s="24"/>
      <c r="I68" s="24"/>
      <c r="J68" s="24"/>
      <c r="K68" s="24"/>
      <c r="L68" s="24"/>
    </row>
    <row r="69" ht="15.75" customHeight="1">
      <c r="A69" s="61" t="s">
        <v>9</v>
      </c>
      <c r="B69" s="97">
        <v>0.5</v>
      </c>
      <c r="C69" s="56"/>
      <c r="D69" s="24"/>
      <c r="E69" s="24"/>
      <c r="F69" s="24"/>
      <c r="G69" s="24"/>
      <c r="H69" s="24"/>
      <c r="I69" s="24"/>
      <c r="J69" s="24"/>
      <c r="K69" s="24"/>
      <c r="L69" s="24"/>
    </row>
    <row r="70" ht="15.75" customHeight="1">
      <c r="A70" s="61" t="s">
        <v>46</v>
      </c>
      <c r="B70" s="98">
        <v>0.25</v>
      </c>
      <c r="C70" s="98"/>
      <c r="D70" s="24"/>
      <c r="E70" s="24"/>
      <c r="F70" s="24"/>
      <c r="G70" s="24"/>
      <c r="H70" s="24"/>
      <c r="I70" s="24"/>
      <c r="J70" s="24"/>
      <c r="K70" s="24"/>
      <c r="L70" s="24"/>
    </row>
    <row r="71" ht="15.75" customHeight="1">
      <c r="A71" s="61" t="s">
        <v>47</v>
      </c>
      <c r="B71" s="97">
        <v>0.25</v>
      </c>
      <c r="C71" s="56"/>
      <c r="D71" s="24"/>
      <c r="E71" s="24"/>
      <c r="F71" s="24"/>
      <c r="G71" s="24"/>
      <c r="H71" s="24"/>
      <c r="I71" s="24"/>
      <c r="J71" s="24"/>
      <c r="K71" s="24"/>
      <c r="L71" s="24"/>
    </row>
    <row r="72" ht="15.75" customHeight="1">
      <c r="A72" s="61"/>
      <c r="B72" s="99"/>
      <c r="C72" s="100">
        <v>0.25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55" t="s">
        <v>48</v>
      </c>
      <c r="B73" s="101"/>
      <c r="C73" s="102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61" t="s">
        <v>49</v>
      </c>
      <c r="B74" s="103">
        <v>1.0</v>
      </c>
      <c r="C74" s="104"/>
      <c r="D74" s="24"/>
      <c r="E74" s="24"/>
      <c r="F74" s="24"/>
      <c r="G74" s="24"/>
      <c r="H74" s="24"/>
      <c r="I74" s="24"/>
      <c r="J74" s="24"/>
      <c r="K74" s="24"/>
      <c r="L74" s="24"/>
    </row>
    <row r="75" ht="15.75" customHeight="1">
      <c r="A75" s="55" t="s">
        <v>17</v>
      </c>
      <c r="B75" s="105"/>
      <c r="C75" s="104">
        <v>0.05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65" t="s">
        <v>18</v>
      </c>
      <c r="B76" s="103">
        <v>0.5</v>
      </c>
      <c r="C76" s="56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65" t="s">
        <v>19</v>
      </c>
      <c r="B77" s="103">
        <v>0.5</v>
      </c>
      <c r="C77" s="56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67"/>
      <c r="B78" s="103"/>
      <c r="C78" s="104">
        <v>0.05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55" t="s">
        <v>20</v>
      </c>
      <c r="B79" s="105"/>
      <c r="C79" s="56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65" t="s">
        <v>21</v>
      </c>
      <c r="B80" s="103">
        <v>0.25</v>
      </c>
      <c r="C80" s="56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67" t="s">
        <v>22</v>
      </c>
      <c r="B81" s="103">
        <v>0.75</v>
      </c>
      <c r="C81" s="56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67"/>
      <c r="B82" s="103"/>
      <c r="C82" s="104">
        <v>0.15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55" t="s">
        <v>23</v>
      </c>
      <c r="B83" s="105"/>
      <c r="C83" s="56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65" t="s">
        <v>24</v>
      </c>
      <c r="B84" s="103">
        <v>1.0</v>
      </c>
      <c r="C84" s="56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67"/>
      <c r="B85" s="103"/>
      <c r="C85" s="104">
        <v>0.05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55" t="s">
        <v>25</v>
      </c>
      <c r="B86" s="103"/>
      <c r="C86" s="56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74" t="s">
        <v>26</v>
      </c>
      <c r="B87" s="103">
        <v>1.0</v>
      </c>
      <c r="C87" s="56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74"/>
      <c r="B88" s="103"/>
      <c r="C88" s="104">
        <v>0.05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55" t="s">
        <v>27</v>
      </c>
      <c r="B89" s="103"/>
      <c r="C89" s="56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65" t="s">
        <v>28</v>
      </c>
      <c r="B90" s="103">
        <v>1.0</v>
      </c>
      <c r="C90" s="10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67"/>
      <c r="B91" s="103"/>
      <c r="C91" s="104">
        <v>0.05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55" t="s">
        <v>30</v>
      </c>
      <c r="B92" s="103"/>
      <c r="C92" s="56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65" t="s">
        <v>31</v>
      </c>
      <c r="B93" s="103">
        <v>1.0</v>
      </c>
      <c r="C93" s="10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67"/>
      <c r="B94" s="103"/>
      <c r="C94" s="104">
        <v>0.05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79" t="s">
        <v>51</v>
      </c>
      <c r="B95" s="103"/>
      <c r="C95" s="56"/>
      <c r="D95" s="24"/>
      <c r="E95" s="24"/>
      <c r="F95" s="24"/>
      <c r="G95" s="24"/>
      <c r="H95" s="24"/>
      <c r="I95" s="24"/>
      <c r="J95" s="24"/>
      <c r="K95" s="24"/>
      <c r="L95" s="24"/>
    </row>
    <row r="96" ht="15.75" customHeight="1">
      <c r="A96" s="82" t="s">
        <v>52</v>
      </c>
      <c r="B96" s="106">
        <v>1.0</v>
      </c>
      <c r="C96" s="107"/>
      <c r="D96" s="24"/>
      <c r="E96" s="24"/>
      <c r="F96" s="24"/>
      <c r="G96" s="24"/>
      <c r="H96" s="24"/>
      <c r="I96" s="24"/>
      <c r="J96" s="24"/>
      <c r="K96" s="24"/>
      <c r="L96" s="24"/>
    </row>
    <row r="97" ht="15.75" customHeight="1">
      <c r="A97" s="88"/>
      <c r="B97" s="108"/>
      <c r="C97" s="109">
        <v>0.3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/>
    <row r="99" ht="15.75" customHeight="1"/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ht="15.75" customHeight="1">
      <c r="A101" s="91" t="s">
        <v>59</v>
      </c>
      <c r="B101" s="92" t="s">
        <v>56</v>
      </c>
      <c r="C101" s="93"/>
      <c r="D101" s="24"/>
      <c r="E101" s="24"/>
      <c r="F101" s="24"/>
      <c r="G101" s="24"/>
      <c r="H101" s="24"/>
      <c r="I101" s="24"/>
      <c r="J101" s="24"/>
      <c r="K101" s="24"/>
      <c r="L101" s="24"/>
    </row>
    <row r="102" ht="15.75" customHeight="1">
      <c r="A102" s="14" t="s">
        <v>1</v>
      </c>
      <c r="B102" s="94" t="s">
        <v>57</v>
      </c>
      <c r="C102" s="94" t="s">
        <v>58</v>
      </c>
      <c r="D102" s="6" t="s">
        <v>3</v>
      </c>
      <c r="E102" s="110"/>
      <c r="F102" s="7"/>
      <c r="G102" s="6" t="s">
        <v>4</v>
      </c>
      <c r="H102" s="110"/>
      <c r="I102" s="7"/>
      <c r="J102" s="6" t="s">
        <v>5</v>
      </c>
      <c r="K102" s="110"/>
      <c r="L102" s="7"/>
    </row>
    <row r="103" ht="15.75" customHeight="1">
      <c r="A103" s="95"/>
      <c r="B103" s="96"/>
      <c r="C103" s="96"/>
      <c r="D103" s="111" t="s">
        <v>45</v>
      </c>
      <c r="E103" s="112" t="s">
        <v>60</v>
      </c>
      <c r="F103" s="94" t="s">
        <v>61</v>
      </c>
      <c r="G103" s="47" t="s">
        <v>45</v>
      </c>
      <c r="H103" s="112" t="s">
        <v>60</v>
      </c>
      <c r="I103" s="94" t="s">
        <v>61</v>
      </c>
      <c r="J103" s="47" t="s">
        <v>45</v>
      </c>
      <c r="K103" s="112" t="s">
        <v>60</v>
      </c>
      <c r="L103" s="94" t="s">
        <v>61</v>
      </c>
    </row>
    <row r="104" ht="15.75" customHeight="1">
      <c r="A104" s="55"/>
      <c r="B104" s="56"/>
      <c r="C104" s="113"/>
      <c r="D104" s="114"/>
      <c r="E104" s="35"/>
      <c r="F104" s="56"/>
      <c r="G104" s="58"/>
      <c r="H104" s="115"/>
      <c r="I104" s="56"/>
      <c r="J104" s="58"/>
      <c r="K104" s="115"/>
      <c r="L104" s="56"/>
    </row>
    <row r="105" ht="15.75" customHeight="1">
      <c r="A105" s="55" t="s">
        <v>8</v>
      </c>
      <c r="B105" s="97"/>
      <c r="C105" s="113"/>
      <c r="D105" s="62"/>
      <c r="E105" s="23"/>
      <c r="F105" s="62"/>
      <c r="G105" s="23"/>
      <c r="H105" s="116"/>
      <c r="I105" s="62"/>
      <c r="J105" s="23"/>
      <c r="K105" s="116"/>
      <c r="L105" s="62"/>
    </row>
    <row r="106" ht="15.75" customHeight="1">
      <c r="A106" s="61" t="s">
        <v>9</v>
      </c>
      <c r="B106" s="97">
        <v>0.5</v>
      </c>
      <c r="C106" s="113"/>
      <c r="D106" s="62">
        <v>33.333333333333336</v>
      </c>
      <c r="E106" s="23">
        <f>D106*50/100</f>
        <v>16.66666667</v>
      </c>
      <c r="F106" s="62"/>
      <c r="G106" s="23">
        <v>33.333333333333336</v>
      </c>
      <c r="H106" s="116">
        <f>G106*50/100</f>
        <v>16.66666667</v>
      </c>
      <c r="I106" s="62"/>
      <c r="J106" s="23">
        <v>33.333333333333336</v>
      </c>
      <c r="K106" s="116">
        <f>J106*50/100</f>
        <v>16.66666667</v>
      </c>
      <c r="L106" s="62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61" t="s">
        <v>46</v>
      </c>
      <c r="B107" s="98">
        <v>0.25</v>
      </c>
      <c r="C107" s="117"/>
      <c r="D107" s="62">
        <v>33.333333333333336</v>
      </c>
      <c r="E107" s="23">
        <f t="shared" ref="E107:E108" si="10">D107*25/100</f>
        <v>8.333333333</v>
      </c>
      <c r="F107" s="62"/>
      <c r="G107" s="23">
        <v>33.333333333333336</v>
      </c>
      <c r="H107" s="116">
        <f t="shared" ref="H107:H108" si="11">G107*25/100</f>
        <v>8.333333333</v>
      </c>
      <c r="I107" s="62"/>
      <c r="J107" s="23">
        <v>33.333333333333336</v>
      </c>
      <c r="K107" s="116">
        <f t="shared" ref="K107:K108" si="12">J107*25/100</f>
        <v>8.333333333</v>
      </c>
      <c r="L107" s="62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61" t="s">
        <v>47</v>
      </c>
      <c r="B108" s="97">
        <v>0.25</v>
      </c>
      <c r="C108" s="113"/>
      <c r="D108" s="62">
        <v>20.0</v>
      </c>
      <c r="E108" s="23">
        <f t="shared" si="10"/>
        <v>5</v>
      </c>
      <c r="F108" s="62"/>
      <c r="G108" s="23">
        <v>40.0</v>
      </c>
      <c r="H108" s="116">
        <f t="shared" si="11"/>
        <v>10</v>
      </c>
      <c r="I108" s="62"/>
      <c r="J108" s="23">
        <v>40.0</v>
      </c>
      <c r="K108" s="116">
        <f t="shared" si="12"/>
        <v>10</v>
      </c>
      <c r="L108" s="62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61"/>
      <c r="B109" s="99"/>
      <c r="C109" s="99">
        <v>0.25</v>
      </c>
      <c r="D109" s="62"/>
      <c r="E109" s="23">
        <f>SUM(E106,E107,E108)</f>
        <v>30</v>
      </c>
      <c r="F109" s="62">
        <f>E109*25/100</f>
        <v>7.5</v>
      </c>
      <c r="G109" s="23"/>
      <c r="H109" s="116">
        <f>SUM(H106,H107,H108)</f>
        <v>35</v>
      </c>
      <c r="I109" s="62">
        <f>H109*25/100</f>
        <v>8.75</v>
      </c>
      <c r="J109" s="23"/>
      <c r="K109" s="116">
        <f>SUM(K106,K107,K108)</f>
        <v>35</v>
      </c>
      <c r="L109" s="62">
        <f>K109*25/100</f>
        <v>8.75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55" t="s">
        <v>48</v>
      </c>
      <c r="B110" s="101"/>
      <c r="C110" s="101"/>
      <c r="D110" s="62"/>
      <c r="E110" s="23"/>
      <c r="F110" s="62"/>
      <c r="G110" s="23"/>
      <c r="H110" s="116"/>
      <c r="I110" s="62"/>
      <c r="J110" s="23"/>
      <c r="K110" s="116"/>
      <c r="L110" s="62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61" t="s">
        <v>49</v>
      </c>
      <c r="B111" s="103">
        <v>1.0</v>
      </c>
      <c r="C111" s="105"/>
      <c r="D111" s="62">
        <v>33.333333333333336</v>
      </c>
      <c r="E111" s="23">
        <f>D111*100/100</f>
        <v>33.33333333</v>
      </c>
      <c r="F111" s="62"/>
      <c r="G111" s="23">
        <v>33.333333333333336</v>
      </c>
      <c r="H111" s="116">
        <f>G111*100/100</f>
        <v>33.33333333</v>
      </c>
      <c r="I111" s="62"/>
      <c r="J111" s="23">
        <v>33.333333333333336</v>
      </c>
      <c r="K111" s="116">
        <f>J111*100/100</f>
        <v>33.33333333</v>
      </c>
      <c r="L111" s="62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61"/>
      <c r="B112" s="105"/>
      <c r="C112" s="105">
        <v>0.05</v>
      </c>
      <c r="D112" s="62"/>
      <c r="E112" s="23">
        <f>E111</f>
        <v>33.33333333</v>
      </c>
      <c r="F112" s="62">
        <f>E112*5/100</f>
        <v>1.666666667</v>
      </c>
      <c r="G112" s="23"/>
      <c r="H112" s="116">
        <f>H111</f>
        <v>33.33333333</v>
      </c>
      <c r="I112" s="62">
        <f>H112*5/100</f>
        <v>1.666666667</v>
      </c>
      <c r="J112" s="23"/>
      <c r="K112" s="116">
        <f>K111</f>
        <v>33.33333333</v>
      </c>
      <c r="L112" s="62">
        <f>K112*5/100</f>
        <v>1.666666667</v>
      </c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55" t="s">
        <v>17</v>
      </c>
      <c r="B113" s="103"/>
      <c r="C113" s="113"/>
      <c r="D113" s="62"/>
      <c r="E113" s="23"/>
      <c r="F113" s="62"/>
      <c r="G113" s="23"/>
      <c r="H113" s="116"/>
      <c r="I113" s="62"/>
      <c r="J113" s="23"/>
      <c r="K113" s="116"/>
      <c r="L113" s="62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65" t="s">
        <v>18</v>
      </c>
      <c r="B114" s="103">
        <v>0.5</v>
      </c>
      <c r="C114" s="113"/>
      <c r="D114" s="62">
        <v>33.333333333333336</v>
      </c>
      <c r="E114" s="23">
        <f t="shared" ref="E114:E115" si="13">D114*50/100</f>
        <v>16.66666667</v>
      </c>
      <c r="F114" s="62"/>
      <c r="G114" s="23">
        <v>33.333333333333336</v>
      </c>
      <c r="H114" s="116">
        <f t="shared" ref="H114:H115" si="14">G114*50/100</f>
        <v>16.66666667</v>
      </c>
      <c r="I114" s="62"/>
      <c r="J114" s="23">
        <v>33.333333333333336</v>
      </c>
      <c r="K114" s="116">
        <f t="shared" ref="K114:K115" si="15">J114*50/100</f>
        <v>16.66666667</v>
      </c>
      <c r="L114" s="62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65" t="s">
        <v>19</v>
      </c>
      <c r="B115" s="103">
        <v>0.5</v>
      </c>
      <c r="C115" s="105"/>
      <c r="D115" s="62">
        <v>16.666666666666668</v>
      </c>
      <c r="E115" s="23">
        <f t="shared" si="13"/>
        <v>8.333333333</v>
      </c>
      <c r="F115" s="62"/>
      <c r="G115" s="23">
        <v>33.333333333333336</v>
      </c>
      <c r="H115" s="116">
        <f t="shared" si="14"/>
        <v>16.66666667</v>
      </c>
      <c r="I115" s="62"/>
      <c r="J115" s="23">
        <v>33.333333333333336</v>
      </c>
      <c r="K115" s="116">
        <f t="shared" si="15"/>
        <v>16.66666667</v>
      </c>
      <c r="L115" s="62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67"/>
      <c r="B116" s="105"/>
      <c r="C116" s="105">
        <v>0.05</v>
      </c>
      <c r="D116" s="62"/>
      <c r="E116" s="23">
        <f>SUM(E115,E114)</f>
        <v>25</v>
      </c>
      <c r="F116" s="62">
        <f>E116*5/100</f>
        <v>1.25</v>
      </c>
      <c r="G116" s="23"/>
      <c r="H116" s="116">
        <f>SUM(H114,H115)</f>
        <v>33.33333333</v>
      </c>
      <c r="I116" s="62">
        <f>H116*5/100</f>
        <v>1.666666667</v>
      </c>
      <c r="J116" s="23"/>
      <c r="K116" s="116">
        <f>SUM(K114,K115)</f>
        <v>33.33333333</v>
      </c>
      <c r="L116" s="62">
        <f>K116*5/100</f>
        <v>1.666666667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55" t="s">
        <v>20</v>
      </c>
      <c r="B117" s="103"/>
      <c r="C117" s="113"/>
      <c r="D117" s="118"/>
      <c r="E117" s="23"/>
      <c r="F117" s="62"/>
      <c r="G117" s="23"/>
      <c r="H117" s="116"/>
      <c r="I117" s="62"/>
      <c r="J117" s="23"/>
      <c r="K117" s="116"/>
      <c r="L117" s="62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65" t="s">
        <v>21</v>
      </c>
      <c r="B118" s="103">
        <v>0.25</v>
      </c>
      <c r="C118" s="113"/>
      <c r="D118" s="118">
        <v>50.0</v>
      </c>
      <c r="E118" s="23">
        <f>D118*25/100</f>
        <v>12.5</v>
      </c>
      <c r="F118" s="62"/>
      <c r="G118" s="23">
        <v>25.0</v>
      </c>
      <c r="H118" s="116">
        <f>G118*25/100</f>
        <v>6.25</v>
      </c>
      <c r="I118" s="62"/>
      <c r="J118" s="23">
        <v>25.0</v>
      </c>
      <c r="K118" s="116">
        <f>J118*25/100</f>
        <v>6.25</v>
      </c>
      <c r="L118" s="62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67" t="s">
        <v>22</v>
      </c>
      <c r="B119" s="103">
        <v>0.75</v>
      </c>
      <c r="C119" s="105"/>
      <c r="D119" s="118">
        <v>50.0</v>
      </c>
      <c r="E119" s="23">
        <f>D119*75/100</f>
        <v>37.5</v>
      </c>
      <c r="F119" s="62"/>
      <c r="G119" s="23">
        <v>25.0</v>
      </c>
      <c r="H119" s="116">
        <f>G119*75/100</f>
        <v>18.75</v>
      </c>
      <c r="I119" s="62"/>
      <c r="J119" s="23">
        <v>25.0</v>
      </c>
      <c r="K119" s="116">
        <f>J119*75/100</f>
        <v>18.75</v>
      </c>
      <c r="L119" s="62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67"/>
      <c r="B120" s="105"/>
      <c r="C120" s="105">
        <v>0.15</v>
      </c>
      <c r="D120" s="118"/>
      <c r="E120" s="23">
        <f>SUM(E119,E118)</f>
        <v>50</v>
      </c>
      <c r="F120" s="62">
        <f>E120*15/100</f>
        <v>7.5</v>
      </c>
      <c r="G120" s="23"/>
      <c r="H120" s="116">
        <f>SUM(H118,H119)</f>
        <v>25</v>
      </c>
      <c r="I120" s="62">
        <f>H120*15/100</f>
        <v>3.75</v>
      </c>
      <c r="J120" s="23"/>
      <c r="K120" s="116">
        <f>SUM(K118,K119)</f>
        <v>25</v>
      </c>
      <c r="L120" s="62">
        <f>K120*15/100</f>
        <v>3.75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55" t="s">
        <v>23</v>
      </c>
      <c r="B121" s="103"/>
      <c r="C121" s="113"/>
      <c r="D121" s="118"/>
      <c r="E121" s="23"/>
      <c r="F121" s="62"/>
      <c r="G121" s="23"/>
      <c r="H121" s="116"/>
      <c r="I121" s="62"/>
      <c r="J121" s="23"/>
      <c r="K121" s="116"/>
      <c r="L121" s="62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65" t="s">
        <v>24</v>
      </c>
      <c r="B122" s="103">
        <v>1.0</v>
      </c>
      <c r="C122" s="105"/>
      <c r="D122" s="118">
        <v>33.333333333333336</v>
      </c>
      <c r="E122" s="23">
        <f>D122*100/100</f>
        <v>33.33333333</v>
      </c>
      <c r="F122" s="62"/>
      <c r="G122" s="23">
        <v>33.333333333333336</v>
      </c>
      <c r="H122" s="116">
        <f>G122*100/100</f>
        <v>33.33333333</v>
      </c>
      <c r="I122" s="62"/>
      <c r="J122" s="23">
        <v>33.333333333333336</v>
      </c>
      <c r="K122" s="116">
        <f>J122*100/100</f>
        <v>33.33333333</v>
      </c>
      <c r="L122" s="62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67"/>
      <c r="B123" s="103"/>
      <c r="C123" s="105">
        <v>0.05</v>
      </c>
      <c r="D123" s="118"/>
      <c r="E123" s="23">
        <f>E122</f>
        <v>33.33333333</v>
      </c>
      <c r="F123" s="62">
        <f>E123*5/100</f>
        <v>1.666666667</v>
      </c>
      <c r="G123" s="23"/>
      <c r="H123" s="116">
        <f>H122</f>
        <v>33.33333333</v>
      </c>
      <c r="I123" s="62">
        <f>H123*5/100</f>
        <v>1.666666667</v>
      </c>
      <c r="J123" s="23"/>
      <c r="K123" s="116">
        <f>K122</f>
        <v>33.33333333</v>
      </c>
      <c r="L123" s="62">
        <f>K123*5/100</f>
        <v>1.666666667</v>
      </c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55" t="s">
        <v>25</v>
      </c>
      <c r="B124" s="103"/>
      <c r="C124" s="113"/>
      <c r="D124" s="118"/>
      <c r="E124" s="23"/>
      <c r="F124" s="62"/>
      <c r="G124" s="23"/>
      <c r="H124" s="116"/>
      <c r="I124" s="62"/>
      <c r="J124" s="23"/>
      <c r="K124" s="116"/>
      <c r="L124" s="62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74" t="s">
        <v>26</v>
      </c>
      <c r="B125" s="103">
        <v>1.0</v>
      </c>
      <c r="C125" s="105"/>
      <c r="D125" s="118">
        <v>20.0</v>
      </c>
      <c r="E125" s="23">
        <f>D125*100/100</f>
        <v>20</v>
      </c>
      <c r="F125" s="62"/>
      <c r="G125" s="23">
        <v>40.0</v>
      </c>
      <c r="H125" s="116">
        <f>G125*100/100</f>
        <v>40</v>
      </c>
      <c r="I125" s="62"/>
      <c r="J125" s="23">
        <v>40.0</v>
      </c>
      <c r="K125" s="116">
        <f>J125*100/100</f>
        <v>40</v>
      </c>
      <c r="L125" s="62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74"/>
      <c r="B126" s="103"/>
      <c r="C126" s="105">
        <v>0.05</v>
      </c>
      <c r="D126" s="68"/>
      <c r="E126" s="23">
        <f>E125</f>
        <v>20</v>
      </c>
      <c r="F126" s="62">
        <f>E126*5/100</f>
        <v>1</v>
      </c>
      <c r="G126" s="23"/>
      <c r="H126" s="116">
        <f>H125</f>
        <v>40</v>
      </c>
      <c r="I126" s="62">
        <f>H126*5/100</f>
        <v>2</v>
      </c>
      <c r="J126" s="23"/>
      <c r="K126" s="116">
        <f>K125</f>
        <v>40</v>
      </c>
      <c r="L126" s="62">
        <f>K126*5/100</f>
        <v>2</v>
      </c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55" t="s">
        <v>27</v>
      </c>
      <c r="B127" s="103"/>
      <c r="C127" s="105"/>
      <c r="D127" s="62"/>
      <c r="E127" s="119"/>
      <c r="F127" s="62"/>
      <c r="G127" s="23"/>
      <c r="H127" s="120"/>
      <c r="I127" s="62"/>
      <c r="J127" s="23"/>
      <c r="K127" s="120"/>
      <c r="L127" s="62"/>
    </row>
    <row r="128" ht="15.75" customHeight="1">
      <c r="A128" s="65" t="s">
        <v>28</v>
      </c>
      <c r="B128" s="103">
        <v>1.0</v>
      </c>
      <c r="C128" s="105"/>
      <c r="D128" s="62">
        <v>33.333333333333336</v>
      </c>
      <c r="E128" s="23">
        <f>D128*100/100</f>
        <v>33.33333333</v>
      </c>
      <c r="F128" s="62"/>
      <c r="G128" s="23">
        <v>33.333333333333336</v>
      </c>
      <c r="H128" s="116">
        <f>G128*100/100</f>
        <v>33.33333333</v>
      </c>
      <c r="I128" s="62"/>
      <c r="J128" s="23">
        <v>33.333333333333336</v>
      </c>
      <c r="K128" s="116">
        <f>J128*100/100</f>
        <v>33.33333333</v>
      </c>
      <c r="L128" s="62"/>
    </row>
    <row r="129" ht="15.75" customHeight="1">
      <c r="A129" s="67"/>
      <c r="B129" s="103"/>
      <c r="C129" s="105">
        <v>0.05</v>
      </c>
      <c r="D129" s="62"/>
      <c r="E129" s="23">
        <f>E128</f>
        <v>33.33333333</v>
      </c>
      <c r="F129" s="62">
        <f>E129*5/100</f>
        <v>1.666666667</v>
      </c>
      <c r="G129" s="23"/>
      <c r="H129" s="116">
        <f>H128</f>
        <v>33.33333333</v>
      </c>
      <c r="I129" s="62">
        <f>H129*5/100</f>
        <v>1.666666667</v>
      </c>
      <c r="J129" s="23"/>
      <c r="K129" s="116">
        <f>K128</f>
        <v>33.33333333</v>
      </c>
      <c r="L129" s="62">
        <f>K129*5/100</f>
        <v>1.666666667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55" t="s">
        <v>30</v>
      </c>
      <c r="B130" s="103"/>
      <c r="C130" s="105"/>
      <c r="D130" s="62"/>
      <c r="E130" s="23"/>
      <c r="F130" s="62"/>
      <c r="G130" s="23"/>
      <c r="H130" s="116"/>
      <c r="I130" s="62"/>
      <c r="J130" s="23"/>
      <c r="K130" s="116"/>
      <c r="L130" s="62"/>
    </row>
    <row r="131" ht="15.75" customHeight="1">
      <c r="A131" s="65" t="s">
        <v>31</v>
      </c>
      <c r="B131" s="103">
        <v>1.0</v>
      </c>
      <c r="C131" s="105"/>
      <c r="D131" s="62">
        <v>74.6268656716418</v>
      </c>
      <c r="E131" s="23">
        <f>D131*100/100</f>
        <v>74.62686567</v>
      </c>
      <c r="F131" s="62"/>
      <c r="G131" s="23">
        <v>24.875621890547265</v>
      </c>
      <c r="H131" s="116">
        <f>G131*100/100</f>
        <v>24.87562189</v>
      </c>
      <c r="I131" s="62"/>
      <c r="J131" s="23">
        <v>0.4975124378109453</v>
      </c>
      <c r="K131" s="116">
        <f>J131*100/100</f>
        <v>0.4975124378</v>
      </c>
      <c r="L131" s="62"/>
    </row>
    <row r="132" ht="15.75" customHeight="1">
      <c r="A132" s="67"/>
      <c r="B132" s="103"/>
      <c r="C132" s="105">
        <v>0.05</v>
      </c>
      <c r="D132" s="118"/>
      <c r="E132" s="28">
        <f>E131</f>
        <v>74.62686567</v>
      </c>
      <c r="F132" s="118">
        <f>E132*5/100</f>
        <v>3.731343284</v>
      </c>
      <c r="G132" s="28"/>
      <c r="H132" s="121">
        <f>H131</f>
        <v>24.87562189</v>
      </c>
      <c r="I132" s="118">
        <f>H132*5/100</f>
        <v>1.243781095</v>
      </c>
      <c r="J132" s="28"/>
      <c r="K132" s="121">
        <f>K131</f>
        <v>0.4975124378</v>
      </c>
      <c r="L132" s="118">
        <f>K132*5/100</f>
        <v>0.02487562189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79" t="s">
        <v>51</v>
      </c>
      <c r="B133" s="106"/>
      <c r="C133" s="122"/>
      <c r="D133" s="68"/>
      <c r="E133" s="123"/>
      <c r="F133" s="118"/>
      <c r="G133" s="81"/>
      <c r="H133" s="124"/>
      <c r="I133" s="118"/>
      <c r="J133" s="81"/>
      <c r="K133" s="124"/>
      <c r="L133" s="125"/>
    </row>
    <row r="134" ht="15.75" customHeight="1">
      <c r="A134" s="82" t="s">
        <v>52</v>
      </c>
      <c r="B134" s="126">
        <v>1.0</v>
      </c>
      <c r="C134" s="105"/>
      <c r="D134" s="62">
        <v>90.98079451088525</v>
      </c>
      <c r="E134" s="127">
        <f>D134*100/100</f>
        <v>90.98079451</v>
      </c>
      <c r="F134" s="62"/>
      <c r="G134" s="56">
        <v>6.486261181826926</v>
      </c>
      <c r="H134" s="128">
        <f>G134*100/100</f>
        <v>6.486261182</v>
      </c>
      <c r="I134" s="62"/>
      <c r="J134" s="59">
        <v>2.532944307287826</v>
      </c>
      <c r="K134" s="129">
        <f>J134*100/100</f>
        <v>2.532944307</v>
      </c>
      <c r="L134" s="130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82"/>
      <c r="B135" s="83"/>
      <c r="C135" s="131">
        <v>0.3</v>
      </c>
      <c r="D135" s="132"/>
      <c r="E135" s="85">
        <f>E134</f>
        <v>90.98079451</v>
      </c>
      <c r="F135" s="133">
        <f>E135*30/100</f>
        <v>27.29423835</v>
      </c>
      <c r="G135" s="132"/>
      <c r="H135" s="134">
        <f>H134</f>
        <v>6.486261182</v>
      </c>
      <c r="I135" s="135">
        <f>H135*30/100</f>
        <v>1.945878355</v>
      </c>
      <c r="J135" s="136"/>
      <c r="K135" s="137">
        <f>K134</f>
        <v>2.532944307</v>
      </c>
      <c r="L135" s="133">
        <f>K135*30/100</f>
        <v>0.7598832922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138">
        <f>SUM(F109,F112,F116,F120,F123,F126,F129,F132,F135)</f>
        <v>53.27558164</v>
      </c>
      <c r="G136" s="24"/>
      <c r="H136" s="24"/>
      <c r="I136" s="139">
        <f>SUM(I109,I112,I116,I120,I123,I126,I129,I132,I135)</f>
        <v>24.35632612</v>
      </c>
      <c r="J136" s="24"/>
      <c r="K136" s="24"/>
      <c r="L136" s="140">
        <f>SUM(L109,L112,L116,L120,L123,L126,L129,L132,L135)</f>
        <v>21.95142558</v>
      </c>
    </row>
    <row r="137" ht="15.75" customHeight="1">
      <c r="A137" s="24"/>
      <c r="B137" s="24"/>
      <c r="C137" s="24"/>
      <c r="D137" s="24"/>
      <c r="E137" s="24"/>
      <c r="F137" s="141"/>
      <c r="G137" s="24"/>
      <c r="H137" s="24"/>
      <c r="I137" s="142"/>
      <c r="J137" s="24"/>
      <c r="K137" s="24"/>
      <c r="L137" s="141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/>
    <row r="139" ht="15.75" customHeight="1">
      <c r="A139" s="24"/>
      <c r="B139" s="24"/>
      <c r="C139" s="24"/>
      <c r="D139" s="24"/>
      <c r="E139" s="90" t="s">
        <v>62</v>
      </c>
      <c r="F139" s="24"/>
      <c r="G139" s="24"/>
      <c r="H139" s="24"/>
      <c r="I139" s="24"/>
      <c r="J139" s="24"/>
      <c r="K139" s="24"/>
      <c r="L139" s="24"/>
    </row>
    <row r="140" ht="15.75" customHeight="1">
      <c r="A140" s="24"/>
      <c r="B140" s="24"/>
      <c r="C140" s="24"/>
      <c r="D140" s="24"/>
      <c r="E140" s="90" t="s">
        <v>63</v>
      </c>
      <c r="F140" s="24"/>
      <c r="G140" s="24"/>
      <c r="H140" s="24"/>
      <c r="I140" s="24"/>
      <c r="J140" s="24"/>
      <c r="K140" s="24"/>
      <c r="L140" s="24"/>
    </row>
    <row r="141" ht="15.75" customHeight="1">
      <c r="A141" s="143"/>
      <c r="B141" s="144"/>
      <c r="D141" s="24"/>
      <c r="E141" s="24"/>
      <c r="F141" s="24"/>
      <c r="G141" s="24"/>
      <c r="H141" s="24"/>
      <c r="I141" s="24"/>
      <c r="J141" s="24"/>
      <c r="K141" s="24"/>
      <c r="L141" s="24"/>
    </row>
    <row r="142" ht="15.75" customHeight="1">
      <c r="A142" s="90" t="s">
        <v>64</v>
      </c>
      <c r="B142" s="144"/>
      <c r="C142" s="144"/>
      <c r="D142" s="24"/>
      <c r="E142" s="24"/>
      <c r="F142" s="24"/>
      <c r="G142" s="24"/>
      <c r="H142" s="24"/>
      <c r="I142" s="24"/>
      <c r="J142" s="24"/>
      <c r="K142" s="24"/>
      <c r="L142" s="24"/>
    </row>
    <row r="143" ht="15.75" customHeight="1">
      <c r="A143" s="90" t="s">
        <v>65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</row>
    <row r="144" ht="15.75" customHeight="1">
      <c r="A144" s="90" t="s">
        <v>66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ht="15.75" customHeight="1">
      <c r="A145" s="90" t="s">
        <v>67</v>
      </c>
      <c r="B145" s="24"/>
      <c r="C145" s="24"/>
    </row>
    <row r="146" ht="15.75" customHeight="1">
      <c r="A146" s="145" t="s">
        <v>68</v>
      </c>
      <c r="B146" s="108"/>
      <c r="C146" s="24"/>
    </row>
    <row r="147" ht="15.75" customHeight="1">
      <c r="A147" s="145" t="s">
        <v>69</v>
      </c>
      <c r="B147" s="108"/>
      <c r="C147" s="108"/>
    </row>
    <row r="148" ht="15.75" customHeight="1">
      <c r="A148" s="90"/>
      <c r="B148" s="24"/>
      <c r="C148" s="24"/>
    </row>
    <row r="149" ht="15.75" customHeight="1">
      <c r="A149" s="145" t="s">
        <v>70</v>
      </c>
      <c r="B149" s="146"/>
      <c r="C149" s="24"/>
    </row>
    <row r="150" ht="15.75" customHeight="1">
      <c r="A150" s="147"/>
      <c r="B150" s="146"/>
      <c r="C150" s="24"/>
    </row>
    <row r="151" ht="15.75" customHeight="1">
      <c r="A151" s="145" t="s">
        <v>71</v>
      </c>
      <c r="B151" s="24"/>
      <c r="C151" s="146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3">
    <mergeCell ref="E2:F2"/>
    <mergeCell ref="G2:H2"/>
    <mergeCell ref="C34:D34"/>
    <mergeCell ref="E34:F34"/>
    <mergeCell ref="B101:C101"/>
    <mergeCell ref="B64:C64"/>
    <mergeCell ref="B141:C141"/>
    <mergeCell ref="D102:F102"/>
    <mergeCell ref="G102:I102"/>
    <mergeCell ref="J102:L102"/>
    <mergeCell ref="I33:I35"/>
    <mergeCell ref="C2:D2"/>
    <mergeCell ref="G34:H34"/>
  </mergeCells>
  <hyperlinks>
    <hyperlink r:id="rId1" ref="C26"/>
    <hyperlink r:id="rId2" ref="E2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2019-05-27T02:37:13Z</dcterms:created>
  <dc:creator>Luffi</dc:creator>
</cp:coreProperties>
</file>