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<sst xmlns="http://schemas.openxmlformats.org/spreadsheetml/2006/main" count="136" uniqueCount="61">
  <si>
    <t>Matriz de Valoración de Características</t>
  </si>
  <si>
    <t>Grupo/Característica</t>
  </si>
  <si>
    <t>Rango de Valores a considerar</t>
  </si>
  <si>
    <t>3nStar TA040</t>
  </si>
  <si>
    <t>Maxirest ZK-4500</t>
  </si>
  <si>
    <t>NDM 3NS-POS</t>
  </si>
  <si>
    <t>ZKTeco F22</t>
  </si>
  <si>
    <t xml:space="preserve">Especificación </t>
  </si>
  <si>
    <t xml:space="preserve">Valor Asignado </t>
  </si>
  <si>
    <t>Sensor</t>
  </si>
  <si>
    <t>Tipo (*)</t>
  </si>
  <si>
    <t>1 - 3</t>
  </si>
  <si>
    <t>Tiempo medio de reconocimento (s)</t>
  </si>
  <si>
    <t>0.1 - 2</t>
  </si>
  <si>
    <t>0.3</t>
  </si>
  <si>
    <r>
      <t xml:space="preserve">1,7 </t>
    </r>
    <r>
      <rPr>
        <color rgb="FFFF0000"/>
      </rPr>
      <t>(2-0.3)</t>
    </r>
  </si>
  <si>
    <t>0.9</t>
  </si>
  <si>
    <t>Instalación</t>
  </si>
  <si>
    <t>Anclaje (**)</t>
  </si>
  <si>
    <t>1 - 2</t>
  </si>
  <si>
    <t>Memoria interna</t>
  </si>
  <si>
    <t>Capacidad de huellas</t>
  </si>
  <si>
    <t>600 - 5000</t>
  </si>
  <si>
    <t>Capacidad de tarjetas</t>
  </si>
  <si>
    <t>100 - 1000</t>
  </si>
  <si>
    <t>Capacidad de eventos</t>
  </si>
  <si>
    <t>6000 - 50000</t>
  </si>
  <si>
    <t>Conectividad</t>
  </si>
  <si>
    <t>Interfaz de conexión (***)</t>
  </si>
  <si>
    <t>0 - 2</t>
  </si>
  <si>
    <t>1 + 2</t>
  </si>
  <si>
    <t>Formato de exportación (****)</t>
  </si>
  <si>
    <t>0 - 3</t>
  </si>
  <si>
    <t>(*) 1: Óptico reflexivo. 2: Óptico transmisivo. 
3: Capacitivo</t>
  </si>
  <si>
    <t>(**): 1: Móvil. 2: Fijo (pared)</t>
  </si>
  <si>
    <t>(***): 1: USB. 2: TCP/IP.  0: Otro</t>
  </si>
  <si>
    <t>(****) 1: txt. 2: xls. 3: SQL-DB. 0: Otro</t>
  </si>
  <si>
    <t>Valores Porcentual de Característas</t>
  </si>
  <si>
    <t>Total Características</t>
  </si>
  <si>
    <t>VA</t>
  </si>
  <si>
    <t>V%C</t>
  </si>
  <si>
    <t>CONTROL</t>
  </si>
  <si>
    <t>VA=Valor Asignado</t>
  </si>
  <si>
    <t>V%C=Valor Porcentual Característica</t>
  </si>
  <si>
    <t>Matriz Ponderación de Caracteristicas</t>
  </si>
  <si>
    <t>Puntajes de Ponderación</t>
  </si>
  <si>
    <t>De la Características (%PC)</t>
  </si>
  <si>
    <t>Del Grupo (%PG)</t>
  </si>
  <si>
    <t>Puntaje para la Ponderación de Características</t>
  </si>
  <si>
    <t>VPC</t>
  </si>
  <si>
    <t>VPG</t>
  </si>
  <si>
    <t>VPC Valor de Poneración de Caracteristica</t>
  </si>
  <si>
    <t>VPG Valor de Ponderación de Grupos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</si>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</sst>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name val="Calibri"/>
    </font>
    <font>
      <sz val="11.0"/>
      <color rgb="FF000000"/>
      <name val="Arial Narrow"/>
    </font>
    <font>
      <b/>
      <sz val="11.0"/>
      <color rgb="FF000000"/>
      <name val="Calibri"/>
    </font>
    <font>
      <b/>
      <sz val="11.0"/>
      <color rgb="FF008000"/>
      <name val="Calibri"/>
    </font>
  </fonts>
  <fills count="2">
    <fill>
      <patternFill patternType="none"/>
    </fill>
    <fill>
      <patternFill patternType="lightGray"/>
    </fill>
  </fills>
  <borders count="4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bottom" wrapText="1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readingOrder="0" shrinkToFit="0" vertical="bottom" wrapText="0"/>
    </xf>
    <xf borderId="16" fillId="0" fontId="0" numFmtId="0" xfId="0" applyAlignment="1" applyBorder="1" applyFont="1">
      <alignment shrinkToFit="0" vertical="bottom" wrapText="0"/>
    </xf>
    <xf borderId="17" fillId="0" fontId="0" numFmtId="0" xfId="0" applyAlignment="1" applyBorder="1" applyFont="1">
      <alignment shrinkToFit="0" vertical="bottom" wrapText="0"/>
    </xf>
    <xf borderId="18" fillId="0" fontId="0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vertical="bottom"/>
    </xf>
    <xf borderId="20" fillId="0" fontId="4" numFmtId="0" xfId="0" applyAlignment="1" applyBorder="1" applyFont="1">
      <alignment vertical="bottom"/>
    </xf>
    <xf borderId="21" fillId="0" fontId="0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horizontal="right" readingOrder="0" shrinkToFit="0" vertical="bottom" wrapText="0"/>
    </xf>
    <xf borderId="16" fillId="0" fontId="0" numFmtId="0" xfId="0" applyAlignment="1" applyBorder="1" applyFont="1">
      <alignment horizontal="center" readingOrder="0" shrinkToFit="0" vertical="bottom" wrapText="0"/>
    </xf>
    <xf borderId="17" fillId="0" fontId="0" numFmtId="0" xfId="0" applyAlignment="1" applyBorder="1" applyFont="1">
      <alignment horizontal="center" readingOrder="0" shrinkToFit="0" vertical="bottom" wrapText="0"/>
    </xf>
    <xf borderId="18" fillId="0" fontId="0" numFmtId="0" xfId="0" applyAlignment="1" applyBorder="1" applyFont="1">
      <alignment horizontal="center" readingOrder="0" shrinkToFit="0" vertical="bottom" wrapText="0"/>
    </xf>
    <xf borderId="19" fillId="0" fontId="4" numFmtId="0" xfId="0" applyAlignment="1" applyBorder="1" applyFont="1">
      <alignment horizontal="center" readingOrder="0" vertical="bottom"/>
    </xf>
    <xf borderId="20" fillId="0" fontId="4" numFmtId="0" xfId="0" applyAlignment="1" applyBorder="1" applyFont="1">
      <alignment horizontal="center" readingOrder="0" vertical="bottom"/>
    </xf>
    <xf borderId="21" fillId="0" fontId="0" numFmtId="0" xfId="0" applyAlignment="1" applyBorder="1" applyFont="1">
      <alignment horizontal="center" readingOrder="0" shrinkToFit="0" vertical="bottom" wrapText="0"/>
    </xf>
    <xf borderId="19" fillId="0" fontId="4" numFmtId="164" xfId="0" applyAlignment="1" applyBorder="1" applyFont="1" applyNumberFormat="1">
      <alignment horizontal="center" readingOrder="0" vertical="bottom"/>
    </xf>
    <xf borderId="16" fillId="0" fontId="0" numFmtId="0" xfId="0" applyAlignment="1" applyBorder="1" applyFont="1">
      <alignment horizontal="center" shrinkToFit="0" vertical="bottom" wrapText="0"/>
    </xf>
    <xf borderId="17" fillId="0" fontId="0" numFmtId="0" xfId="0" applyAlignment="1" applyBorder="1" applyFont="1">
      <alignment horizontal="center" shrinkToFit="0" vertical="bottom" wrapText="0"/>
    </xf>
    <xf borderId="18" fillId="0" fontId="0" numFmtId="0" xfId="0" applyAlignment="1" applyBorder="1" applyFont="1">
      <alignment horizontal="center" shrinkToFit="0" vertical="bottom" wrapText="0"/>
    </xf>
    <xf borderId="19" fillId="0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21" fillId="0" fontId="0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22" fillId="0" fontId="1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11" fillId="0" fontId="2" numFmtId="0" xfId="0" applyAlignment="1" applyBorder="1" applyFont="1">
      <alignment horizontal="center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5" fillId="0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27" fillId="0" fontId="1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28" fillId="0" fontId="2" numFmtId="0" xfId="0" applyAlignment="1" applyBorder="1" applyFont="1">
      <alignment horizontal="center" shrinkToFit="0" vertical="bottom" wrapText="0"/>
    </xf>
    <xf borderId="29" fillId="0" fontId="3" numFmtId="0" xfId="0" applyBorder="1" applyFont="1"/>
    <xf borderId="30" fillId="0" fontId="2" numFmtId="0" xfId="0" applyAlignment="1" applyBorder="1" applyFont="1">
      <alignment shrinkToFit="0" vertical="bottom" wrapText="0"/>
    </xf>
    <xf borderId="30" fillId="0" fontId="2" numFmtId="0" xfId="0" applyAlignment="1" applyBorder="1" applyFont="1">
      <alignment horizontal="center" shrinkToFit="0" vertical="bottom" wrapText="0"/>
    </xf>
    <xf borderId="31" fillId="0" fontId="2" numFmtId="0" xfId="0" applyAlignment="1" applyBorder="1" applyFont="1">
      <alignment shrinkToFit="0" vertical="bottom" wrapText="0"/>
    </xf>
    <xf borderId="22" fillId="0" fontId="0" numFmtId="0" xfId="0" applyAlignment="1" applyBorder="1" applyFont="1">
      <alignment shrinkToFit="0" vertical="bottom" wrapText="0"/>
    </xf>
    <xf borderId="16" fillId="0" fontId="0" numFmtId="9" xfId="0" applyAlignment="1" applyBorder="1" applyFont="1" applyNumberFormat="1">
      <alignment horizontal="center" readingOrder="0" shrinkToFit="0" vertical="bottom" wrapText="0"/>
    </xf>
    <xf borderId="0" fillId="0" fontId="3" numFmtId="9" xfId="0" applyFont="1" applyNumberFormat="1"/>
    <xf borderId="10" fillId="0" fontId="0" numFmtId="9" xfId="0" applyAlignment="1" applyBorder="1" applyFont="1" applyNumberFormat="1">
      <alignment horizontal="center" readingOrder="0" shrinkToFit="0" vertical="bottom" wrapText="0"/>
    </xf>
    <xf borderId="10" fillId="0" fontId="0" numFmtId="9" xfId="0" applyAlignment="1" applyBorder="1" applyFont="1" applyNumberFormat="1">
      <alignment horizontal="center" shrinkToFit="0" vertical="bottom" wrapText="0"/>
    </xf>
    <xf borderId="32" fillId="0" fontId="0" numFmtId="0" xfId="0" applyAlignment="1" applyBorder="1" applyFont="1">
      <alignment horizontal="center" shrinkToFit="0" vertical="bottom" wrapText="0"/>
    </xf>
    <xf borderId="15" fillId="0" fontId="0" numFmtId="9" xfId="0" applyAlignment="1" applyBorder="1" applyFont="1" applyNumberFormat="1">
      <alignment horizontal="center" readingOrder="0" shrinkToFit="0" vertical="bottom" wrapText="0"/>
    </xf>
    <xf borderId="15" fillId="0" fontId="0" numFmtId="9" xfId="0" applyAlignment="1" applyBorder="1" applyFont="1" applyNumberFormat="1">
      <alignment horizontal="center" shrinkToFit="0" vertical="bottom" wrapText="0"/>
    </xf>
    <xf borderId="33" fillId="0" fontId="0" numFmtId="9" xfId="0" applyAlignment="1" applyBorder="1" applyFont="1" applyNumberFormat="1">
      <alignment horizontal="center" readingOrder="0" shrinkToFit="0" vertical="bottom" wrapText="0"/>
    </xf>
    <xf borderId="34" fillId="0" fontId="0" numFmtId="0" xfId="0" applyAlignment="1" applyBorder="1" applyFont="1">
      <alignment horizontal="center" shrinkToFit="0" vertical="bottom" wrapText="0"/>
    </xf>
    <xf borderId="33" fillId="0" fontId="0" numFmtId="9" xfId="0" applyAlignment="1" applyBorder="1" applyFont="1" applyNumberFormat="1">
      <alignment horizontal="center" shrinkToFit="0" vertical="bottom" wrapText="0"/>
    </xf>
    <xf borderId="35" fillId="0" fontId="3" numFmtId="0" xfId="0" applyBorder="1" applyFont="1"/>
    <xf borderId="36" fillId="0" fontId="0" numFmtId="0" xfId="0" applyAlignment="1" applyBorder="1" applyFont="1">
      <alignment shrinkToFit="0" vertical="bottom" wrapText="0"/>
    </xf>
    <xf borderId="29" fillId="0" fontId="0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37" fillId="0" fontId="0" numFmtId="0" xfId="0" applyAlignment="1" applyBorder="1" applyFont="1">
      <alignment shrinkToFit="0" vertical="bottom" wrapText="0"/>
    </xf>
    <xf borderId="27" fillId="0" fontId="1" numFmtId="0" xfId="0" applyAlignment="1" applyBorder="1" applyFont="1">
      <alignment horizontal="center" shrinkToFit="0" vertical="bottom" wrapText="0"/>
    </xf>
    <xf borderId="38" fillId="0" fontId="1" numFmtId="0" xfId="0" applyAlignment="1" applyBorder="1" applyFont="1">
      <alignment horizontal="center" shrinkToFit="0" vertical="bottom" wrapText="0"/>
    </xf>
    <xf borderId="37" fillId="0" fontId="0" numFmtId="9" xfId="0" applyAlignment="1" applyBorder="1" applyFont="1" applyNumberFormat="1">
      <alignment shrinkToFit="0" vertical="bottom" wrapText="0"/>
    </xf>
    <xf borderId="37" fillId="0" fontId="0" numFmtId="0" xfId="0" applyAlignment="1" applyBorder="1" applyFont="1">
      <alignment horizontal="center" shrinkToFit="0" vertical="bottom" wrapText="0"/>
    </xf>
    <xf borderId="17" fillId="0" fontId="0" numFmtId="9" xfId="0" applyAlignment="1" applyBorder="1" applyFont="1" applyNumberFormat="1">
      <alignment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39" fillId="0" fontId="0" numFmtId="9" xfId="0" applyAlignment="1" applyBorder="1" applyFont="1" applyNumberFormat="1">
      <alignment shrinkToFit="0" vertical="bottom" wrapText="0"/>
    </xf>
    <xf borderId="40" fillId="0" fontId="0" numFmtId="0" xfId="0" applyAlignment="1" applyBorder="1" applyFont="1">
      <alignment shrinkToFit="0" vertical="bottom" wrapText="0"/>
    </xf>
    <xf borderId="41" fillId="0" fontId="0" numFmtId="0" xfId="0" applyAlignment="1" applyBorder="1" applyFont="1">
      <alignment horizontal="center" shrinkToFit="0" vertical="bottom" wrapText="0"/>
    </xf>
    <xf borderId="40" fillId="0" fontId="0" numFmtId="0" xfId="0" applyAlignment="1" applyBorder="1" applyFont="1">
      <alignment horizontal="center" shrinkToFit="0" vertical="bottom" wrapText="0"/>
    </xf>
    <xf borderId="42" fillId="0" fontId="6" numFmtId="0" xfId="0" applyAlignment="1" applyBorder="1" applyFont="1">
      <alignment horizontal="center" shrinkToFit="0" vertical="bottom" wrapText="0"/>
    </xf>
    <xf borderId="42" fillId="0" fontId="7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0" numFmtId="9" xfId="0" applyAlignment="1" applyFont="1" applyNumberFormat="1">
      <alignment horizontal="center" shrinkToFit="0" vertical="bottom" wrapText="0"/>
    </xf>
    <xf borderId="0" fillId="0" fontId="0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7.57"/>
    <col customWidth="1" min="3" max="3" width="16.57"/>
    <col customWidth="1" min="4" max="4" width="23.57"/>
    <col customWidth="1" min="5" max="5" width="24.43"/>
    <col customWidth="1" min="6" max="8" width="22.0"/>
    <col customWidth="1" min="9" max="9" width="13.86"/>
    <col customWidth="1" min="10" max="10" width="14.71"/>
    <col customWidth="1" min="11" max="11" width="18.57"/>
    <col customWidth="1" min="12" max="12" width="15.29"/>
    <col customWidth="1" min="13" max="13" width="15.86"/>
    <col customWidth="1" min="14" max="14" width="17.43"/>
    <col customWidth="1" min="15" max="15" width="14.14"/>
    <col customWidth="1" min="16" max="28" width="10.0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7.25" customHeight="1">
      <c r="A2" s="4" t="s">
        <v>1</v>
      </c>
      <c r="B2" s="5" t="s">
        <v>2</v>
      </c>
      <c r="C2" s="6" t="s">
        <v>3</v>
      </c>
      <c r="D2" s="7"/>
      <c r="E2" s="6" t="s">
        <v>4</v>
      </c>
      <c r="F2" s="7"/>
      <c r="G2" s="6" t="s">
        <v>5</v>
      </c>
      <c r="H2" s="7"/>
      <c r="I2" s="8" t="s">
        <v>6</v>
      </c>
      <c r="J2" s="7"/>
    </row>
    <row r="3" ht="17.25" customHeight="1">
      <c r="A3" s="9"/>
      <c r="B3" s="10"/>
      <c r="C3" s="11" t="s">
        <v>7</v>
      </c>
      <c r="D3" s="12" t="s">
        <v>8</v>
      </c>
      <c r="E3" s="11" t="s">
        <v>7</v>
      </c>
      <c r="F3" s="12" t="s">
        <v>8</v>
      </c>
      <c r="G3" s="13" t="s">
        <v>7</v>
      </c>
      <c r="H3" s="14" t="s">
        <v>8</v>
      </c>
      <c r="I3" s="15" t="s">
        <v>7</v>
      </c>
      <c r="J3" s="12" t="s">
        <v>8</v>
      </c>
    </row>
    <row r="4" ht="16.5" customHeight="1">
      <c r="A4" s="16" t="s">
        <v>9</v>
      </c>
      <c r="B4" s="17"/>
      <c r="C4" s="18"/>
      <c r="D4" s="19"/>
      <c r="E4" s="18"/>
      <c r="F4" s="19"/>
      <c r="G4" s="20"/>
      <c r="H4" s="21"/>
      <c r="I4" s="22"/>
      <c r="J4" s="19"/>
    </row>
    <row r="5" ht="16.5" customHeight="1">
      <c r="A5" s="23" t="s">
        <v>10</v>
      </c>
      <c r="B5" s="24" t="s">
        <v>11</v>
      </c>
      <c r="C5" s="25">
        <v>2.0</v>
      </c>
      <c r="D5" s="26">
        <v>2.0</v>
      </c>
      <c r="E5" s="25">
        <v>3.0</v>
      </c>
      <c r="F5" s="26">
        <v>3.0</v>
      </c>
      <c r="G5" s="27">
        <v>1.0</v>
      </c>
      <c r="H5" s="28">
        <v>1.0</v>
      </c>
      <c r="I5" s="29">
        <v>3.0</v>
      </c>
      <c r="J5" s="26">
        <v>3.0</v>
      </c>
    </row>
    <row r="6" ht="16.5" customHeight="1">
      <c r="A6" s="23" t="s">
        <v>12</v>
      </c>
      <c r="B6" s="24" t="s">
        <v>13</v>
      </c>
      <c r="C6" s="25" t="s">
        <v>14</v>
      </c>
      <c r="D6" s="26" t="s">
        <v>15</v>
      </c>
      <c r="E6" s="25" t="s">
        <v>16</v>
      </c>
      <c r="F6" s="26">
        <v>1.1</v>
      </c>
      <c r="G6" s="30">
        <v>43525.0</v>
      </c>
      <c r="H6" s="28">
        <v>0.7</v>
      </c>
      <c r="I6" s="29">
        <v>1.0</v>
      </c>
      <c r="J6" s="26">
        <v>1.0</v>
      </c>
    </row>
    <row r="7" ht="16.5" customHeight="1">
      <c r="A7" s="16" t="s">
        <v>17</v>
      </c>
      <c r="B7" s="31"/>
      <c r="C7" s="32"/>
      <c r="D7" s="33"/>
      <c r="E7" s="32"/>
      <c r="F7" s="33"/>
      <c r="G7" s="34"/>
      <c r="H7" s="35"/>
      <c r="I7" s="36"/>
      <c r="J7" s="33"/>
      <c r="M7" s="37"/>
      <c r="N7" s="37"/>
    </row>
    <row r="8" ht="16.5" customHeight="1">
      <c r="A8" s="38" t="s">
        <v>18</v>
      </c>
      <c r="B8" s="24" t="s">
        <v>19</v>
      </c>
      <c r="C8" s="25">
        <v>2.0</v>
      </c>
      <c r="D8" s="26">
        <v>2.0</v>
      </c>
      <c r="E8" s="25">
        <v>1.0</v>
      </c>
      <c r="F8" s="26">
        <v>1.0</v>
      </c>
      <c r="G8" s="27">
        <v>1.0</v>
      </c>
      <c r="H8" s="28">
        <v>1.0</v>
      </c>
      <c r="I8" s="29">
        <v>2.0</v>
      </c>
      <c r="J8" s="26">
        <v>2.0</v>
      </c>
      <c r="M8" s="37"/>
      <c r="N8" s="37"/>
    </row>
    <row r="9" ht="16.5" customHeight="1">
      <c r="A9" s="16" t="s">
        <v>20</v>
      </c>
      <c r="B9" s="31"/>
      <c r="C9" s="32"/>
      <c r="D9" s="33"/>
      <c r="E9" s="32"/>
      <c r="F9" s="33"/>
      <c r="G9" s="34"/>
      <c r="H9" s="35"/>
      <c r="I9" s="36"/>
      <c r="J9" s="33"/>
    </row>
    <row r="10" ht="16.5" customHeight="1">
      <c r="A10" s="23" t="s">
        <v>21</v>
      </c>
      <c r="B10" s="24" t="s">
        <v>22</v>
      </c>
      <c r="C10" s="25">
        <v>3000.0</v>
      </c>
      <c r="D10" s="26">
        <v>3000.0</v>
      </c>
      <c r="E10" s="25">
        <v>600.0</v>
      </c>
      <c r="F10" s="26">
        <v>600.0</v>
      </c>
      <c r="G10" s="27">
        <v>2000.0</v>
      </c>
      <c r="H10" s="28">
        <v>2000.0</v>
      </c>
      <c r="I10" s="29">
        <v>5000.0</v>
      </c>
      <c r="J10" s="26">
        <v>5000.0</v>
      </c>
    </row>
    <row r="11" ht="16.5" customHeight="1">
      <c r="A11" s="23" t="s">
        <v>23</v>
      </c>
      <c r="B11" s="24" t="s">
        <v>24</v>
      </c>
      <c r="C11" s="25">
        <v>1000.0</v>
      </c>
      <c r="D11" s="26">
        <v>1000.0</v>
      </c>
      <c r="E11" s="25">
        <v>100.0</v>
      </c>
      <c r="F11" s="26">
        <v>100.0</v>
      </c>
      <c r="G11" s="27">
        <v>500.0</v>
      </c>
      <c r="H11" s="28">
        <v>500.0</v>
      </c>
      <c r="I11" s="29">
        <v>1500.0</v>
      </c>
      <c r="J11" s="26">
        <v>1500.0</v>
      </c>
    </row>
    <row r="12" ht="16.5" customHeight="1">
      <c r="A12" s="23" t="s">
        <v>25</v>
      </c>
      <c r="B12" s="24" t="s">
        <v>26</v>
      </c>
      <c r="C12" s="25">
        <v>35000.0</v>
      </c>
      <c r="D12" s="26">
        <v>35000.0</v>
      </c>
      <c r="E12" s="25">
        <v>6000.0</v>
      </c>
      <c r="F12" s="26">
        <v>6000.0</v>
      </c>
      <c r="G12" s="27">
        <v>5000.0</v>
      </c>
      <c r="H12" s="28">
        <v>5000.0</v>
      </c>
      <c r="I12" s="29">
        <v>50000.0</v>
      </c>
      <c r="J12" s="26">
        <v>50000.0</v>
      </c>
    </row>
    <row r="13" ht="16.5" customHeight="1">
      <c r="A13" s="16" t="s">
        <v>27</v>
      </c>
      <c r="B13" s="31"/>
      <c r="C13" s="32"/>
      <c r="D13" s="33"/>
      <c r="E13" s="32"/>
      <c r="F13" s="33"/>
      <c r="G13" s="34"/>
      <c r="H13" s="35"/>
      <c r="I13" s="36"/>
      <c r="J13" s="33"/>
    </row>
    <row r="14" ht="16.5" customHeight="1">
      <c r="A14" s="23" t="s">
        <v>28</v>
      </c>
      <c r="B14" s="24" t="s">
        <v>29</v>
      </c>
      <c r="C14" s="25" t="s">
        <v>30</v>
      </c>
      <c r="D14" s="26">
        <v>3.0</v>
      </c>
      <c r="E14" s="25">
        <v>1.0</v>
      </c>
      <c r="F14" s="26">
        <v>1.0</v>
      </c>
      <c r="G14" s="27">
        <v>2.0</v>
      </c>
      <c r="H14" s="28">
        <v>2.0</v>
      </c>
      <c r="I14" s="29" t="s">
        <v>30</v>
      </c>
      <c r="J14" s="26">
        <v>3.0</v>
      </c>
    </row>
    <row r="15" ht="16.5" customHeight="1">
      <c r="A15" s="23" t="s">
        <v>31</v>
      </c>
      <c r="B15" s="24" t="s">
        <v>32</v>
      </c>
      <c r="C15" s="25">
        <v>2.0</v>
      </c>
      <c r="D15" s="26">
        <v>2.0</v>
      </c>
      <c r="E15" s="25">
        <v>1.0</v>
      </c>
      <c r="F15" s="26">
        <v>1.0</v>
      </c>
      <c r="G15" s="27">
        <v>0.0</v>
      </c>
      <c r="H15" s="28">
        <v>0.0</v>
      </c>
      <c r="I15" s="29">
        <v>3.0</v>
      </c>
      <c r="J15" s="26">
        <v>3.0</v>
      </c>
    </row>
    <row r="16">
      <c r="A16" s="37" t="s">
        <v>33</v>
      </c>
    </row>
    <row r="17">
      <c r="A17" s="37" t="s">
        <v>34</v>
      </c>
    </row>
    <row r="18">
      <c r="A18" s="37" t="s">
        <v>35</v>
      </c>
    </row>
    <row r="19">
      <c r="A19" s="37" t="s">
        <v>36</v>
      </c>
    </row>
    <row r="20" ht="15.75" customHeight="1"/>
    <row r="21" ht="17.25" customHeight="1">
      <c r="A21" s="1" t="s">
        <v>37</v>
      </c>
      <c r="B21" s="2"/>
      <c r="C21" s="2"/>
      <c r="D21" s="2"/>
      <c r="E21" s="2"/>
      <c r="F21" s="2"/>
      <c r="G21" s="2"/>
      <c r="H21" s="2"/>
      <c r="I21" s="2"/>
      <c r="J21" s="3"/>
      <c r="K21" s="39" t="s">
        <v>38</v>
      </c>
    </row>
    <row r="22" ht="17.25" customHeight="1">
      <c r="A22" s="4" t="s">
        <v>1</v>
      </c>
      <c r="B22" s="5"/>
      <c r="C22" s="6" t="s">
        <v>3</v>
      </c>
      <c r="D22" s="7"/>
      <c r="E22" s="6" t="s">
        <v>4</v>
      </c>
      <c r="F22" s="7"/>
      <c r="G22" s="6" t="s">
        <v>5</v>
      </c>
      <c r="H22" s="7"/>
      <c r="I22" s="8" t="s">
        <v>6</v>
      </c>
      <c r="J22" s="7"/>
      <c r="K22" s="40"/>
    </row>
    <row r="23" ht="17.25" customHeight="1">
      <c r="A23" s="9"/>
      <c r="B23" s="10"/>
      <c r="C23" s="41" t="s">
        <v>39</v>
      </c>
      <c r="D23" s="42" t="s">
        <v>40</v>
      </c>
      <c r="E23" s="41" t="s">
        <v>39</v>
      </c>
      <c r="F23" s="42" t="s">
        <v>40</v>
      </c>
      <c r="G23" s="41" t="s">
        <v>39</v>
      </c>
      <c r="H23" s="42" t="s">
        <v>40</v>
      </c>
      <c r="I23" s="41" t="s">
        <v>39</v>
      </c>
      <c r="J23" s="42" t="s">
        <v>40</v>
      </c>
      <c r="K23" s="40"/>
      <c r="L23" s="37" t="s">
        <v>41</v>
      </c>
    </row>
    <row r="24" ht="16.5" customHeight="1">
      <c r="A24" s="43"/>
      <c r="B24" s="44"/>
      <c r="C24" s="45"/>
      <c r="D24" s="46"/>
      <c r="E24" s="47"/>
      <c r="F24" s="46"/>
      <c r="G24" s="48"/>
      <c r="H24" s="46"/>
      <c r="I24" s="48"/>
      <c r="J24" s="46"/>
      <c r="K24" s="49"/>
    </row>
    <row r="25" ht="16.5" customHeight="1">
      <c r="A25" s="16" t="s">
        <v>9</v>
      </c>
      <c r="B25" s="17"/>
      <c r="C25" s="18"/>
      <c r="D25" s="19"/>
      <c r="E25" s="18"/>
      <c r="F25" s="19"/>
      <c r="G25" s="20"/>
      <c r="H25" s="21"/>
      <c r="I25" s="22"/>
      <c r="J25" s="19"/>
      <c r="K25" s="17"/>
    </row>
    <row r="26" ht="16.5" customHeight="1">
      <c r="A26" s="23" t="s">
        <v>10</v>
      </c>
      <c r="B26" s="24"/>
      <c r="C26" s="25">
        <f t="shared" ref="C26:C27" si="2">D5</f>
        <v>2</v>
      </c>
      <c r="D26" s="26">
        <f t="shared" ref="D26:D27" si="3">(C26*100/$K26)</f>
        <v>22.22222222</v>
      </c>
      <c r="E26" s="25">
        <f t="shared" ref="E26:E27" si="4">F5</f>
        <v>3</v>
      </c>
      <c r="F26" s="26">
        <f t="shared" ref="F26:F27" si="5">(E26*100/$K26)</f>
        <v>33.33333333</v>
      </c>
      <c r="G26" s="25">
        <f t="shared" ref="G26:G27" si="6">H5</f>
        <v>1</v>
      </c>
      <c r="H26" s="26">
        <f t="shared" ref="H26:H27" si="7">(G26*100/$K26)</f>
        <v>11.11111111</v>
      </c>
      <c r="I26" s="25">
        <f t="shared" ref="I26:I27" si="8">J5</f>
        <v>3</v>
      </c>
      <c r="J26" s="26">
        <f t="shared" ref="J26:J27" si="9">(I26*100/$K26)</f>
        <v>33.33333333</v>
      </c>
      <c r="K26" s="31">
        <f t="shared" ref="K26:L26" si="1">SUM(C26,E26,G26,I26)</f>
        <v>9</v>
      </c>
      <c r="L26">
        <f t="shared" si="1"/>
        <v>100</v>
      </c>
    </row>
    <row r="27" ht="16.5" customHeight="1">
      <c r="A27" s="23" t="s">
        <v>12</v>
      </c>
      <c r="B27" s="24"/>
      <c r="C27" s="25" t="str">
        <f t="shared" si="2"/>
        <v>1,7 (2-0.3)</v>
      </c>
      <c r="D27" s="26" t="str">
        <f t="shared" si="3"/>
        <v>#VALUE!</v>
      </c>
      <c r="E27" s="25">
        <f t="shared" si="4"/>
        <v>1.1</v>
      </c>
      <c r="F27" s="26">
        <f t="shared" si="5"/>
        <v>39.28571429</v>
      </c>
      <c r="G27" s="25">
        <f t="shared" si="6"/>
        <v>0.7</v>
      </c>
      <c r="H27" s="26">
        <f t="shared" si="7"/>
        <v>25</v>
      </c>
      <c r="I27" s="25">
        <f t="shared" si="8"/>
        <v>1</v>
      </c>
      <c r="J27" s="26">
        <f t="shared" si="9"/>
        <v>35.71428571</v>
      </c>
      <c r="K27" s="31">
        <f t="shared" ref="K27:L27" si="10">SUM(C27,E27,G27,I27)</f>
        <v>2.8</v>
      </c>
      <c r="L27" t="str">
        <f t="shared" si="10"/>
        <v>#VALUE!</v>
      </c>
    </row>
    <row r="28" ht="16.5" customHeight="1">
      <c r="A28" s="16" t="s">
        <v>17</v>
      </c>
      <c r="B28" s="31"/>
      <c r="C28" s="25"/>
      <c r="D28" s="26"/>
      <c r="E28" s="25"/>
      <c r="F28" s="26"/>
      <c r="G28" s="25"/>
      <c r="H28" s="26"/>
      <c r="I28" s="25"/>
      <c r="J28" s="26"/>
      <c r="K28" s="31"/>
    </row>
    <row r="29" ht="16.5" customHeight="1">
      <c r="A29" s="38" t="s">
        <v>18</v>
      </c>
      <c r="B29" s="24"/>
      <c r="C29" s="25">
        <f>D8</f>
        <v>2</v>
      </c>
      <c r="D29" s="26">
        <f>(C29*100/$K29)</f>
        <v>33.33333333</v>
      </c>
      <c r="E29" s="25">
        <f>F8</f>
        <v>1</v>
      </c>
      <c r="F29" s="26">
        <f>(E29*100/$K29)</f>
        <v>16.66666667</v>
      </c>
      <c r="G29" s="25">
        <f>H8</f>
        <v>1</v>
      </c>
      <c r="H29" s="26">
        <f>(G29*100/$K29)</f>
        <v>16.66666667</v>
      </c>
      <c r="I29" s="25">
        <f>J8</f>
        <v>2</v>
      </c>
      <c r="J29" s="26">
        <f>(I29*100/$K29)</f>
        <v>33.33333333</v>
      </c>
      <c r="K29" s="31">
        <f t="shared" ref="K29:L29" si="11">SUM(C29,E29,G29,I29)</f>
        <v>6</v>
      </c>
      <c r="L29">
        <f t="shared" si="11"/>
        <v>100</v>
      </c>
    </row>
    <row r="30" ht="16.5" customHeight="1">
      <c r="A30" s="16" t="s">
        <v>20</v>
      </c>
      <c r="B30" s="31"/>
      <c r="C30" s="25"/>
      <c r="D30" s="26"/>
      <c r="E30" s="25"/>
      <c r="F30" s="26"/>
      <c r="G30" s="25"/>
      <c r="H30" s="26"/>
      <c r="I30" s="25"/>
      <c r="J30" s="26"/>
      <c r="K30" s="31"/>
    </row>
    <row r="31" ht="16.5" customHeight="1">
      <c r="A31" s="23" t="s">
        <v>21</v>
      </c>
      <c r="B31" s="24"/>
      <c r="C31" s="25">
        <f t="shared" ref="C31:C33" si="13">D10</f>
        <v>3000</v>
      </c>
      <c r="D31" s="26">
        <f t="shared" ref="D31:D33" si="14">(C31*100/$K31)</f>
        <v>28.30188679</v>
      </c>
      <c r="E31" s="25">
        <f t="shared" ref="E31:E33" si="15">F10</f>
        <v>600</v>
      </c>
      <c r="F31" s="26">
        <f t="shared" ref="F31:F33" si="16">(E31*100/$K31)</f>
        <v>5.660377358</v>
      </c>
      <c r="G31" s="25">
        <f t="shared" ref="G31:G33" si="17">H10</f>
        <v>2000</v>
      </c>
      <c r="H31" s="26">
        <f t="shared" ref="H31:H33" si="18">(G31*100/$K31)</f>
        <v>18.86792453</v>
      </c>
      <c r="I31" s="25">
        <f t="shared" ref="I31:I33" si="19">J10</f>
        <v>5000</v>
      </c>
      <c r="J31" s="26">
        <f t="shared" ref="J31:J33" si="20">(I31*100/$K31)</f>
        <v>47.16981132</v>
      </c>
      <c r="K31" s="31">
        <f t="shared" ref="K31:L31" si="12">SUM(C31,E31,G31,I31)</f>
        <v>10600</v>
      </c>
      <c r="L31">
        <f t="shared" si="12"/>
        <v>100</v>
      </c>
    </row>
    <row r="32" ht="16.5" customHeight="1">
      <c r="A32" s="23" t="s">
        <v>23</v>
      </c>
      <c r="B32" s="24"/>
      <c r="C32" s="25">
        <f t="shared" si="13"/>
        <v>1000</v>
      </c>
      <c r="D32" s="26">
        <f t="shared" si="14"/>
        <v>32.25806452</v>
      </c>
      <c r="E32" s="25">
        <f t="shared" si="15"/>
        <v>100</v>
      </c>
      <c r="F32" s="26">
        <f t="shared" si="16"/>
        <v>3.225806452</v>
      </c>
      <c r="G32" s="25">
        <f t="shared" si="17"/>
        <v>500</v>
      </c>
      <c r="H32" s="26">
        <f t="shared" si="18"/>
        <v>16.12903226</v>
      </c>
      <c r="I32" s="25">
        <f t="shared" si="19"/>
        <v>1500</v>
      </c>
      <c r="J32" s="26">
        <f t="shared" si="20"/>
        <v>48.38709677</v>
      </c>
      <c r="K32" s="31">
        <f t="shared" ref="K32:L32" si="21">SUM(C32,E32,G32,I32)</f>
        <v>3100</v>
      </c>
      <c r="L32">
        <f t="shared" si="21"/>
        <v>100</v>
      </c>
    </row>
    <row r="33" ht="16.5" customHeight="1">
      <c r="A33" s="23" t="s">
        <v>25</v>
      </c>
      <c r="B33" s="24"/>
      <c r="C33" s="25">
        <f t="shared" si="13"/>
        <v>35000</v>
      </c>
      <c r="D33" s="26">
        <f t="shared" si="14"/>
        <v>36.45833333</v>
      </c>
      <c r="E33" s="25">
        <f t="shared" si="15"/>
        <v>6000</v>
      </c>
      <c r="F33" s="26">
        <f t="shared" si="16"/>
        <v>6.25</v>
      </c>
      <c r="G33" s="25">
        <f t="shared" si="17"/>
        <v>5000</v>
      </c>
      <c r="H33" s="26">
        <f t="shared" si="18"/>
        <v>5.208333333</v>
      </c>
      <c r="I33" s="25">
        <f t="shared" si="19"/>
        <v>50000</v>
      </c>
      <c r="J33" s="26">
        <f t="shared" si="20"/>
        <v>52.08333333</v>
      </c>
      <c r="K33" s="31">
        <f t="shared" ref="K33:L33" si="22">SUM(C33,E33,G33,I33)</f>
        <v>96000</v>
      </c>
      <c r="L33">
        <f t="shared" si="22"/>
        <v>100</v>
      </c>
    </row>
    <row r="34" ht="16.5" customHeight="1">
      <c r="A34" s="16" t="s">
        <v>27</v>
      </c>
      <c r="B34" s="31"/>
      <c r="C34" s="25"/>
      <c r="D34" s="26"/>
      <c r="E34" s="25"/>
      <c r="F34" s="26"/>
      <c r="G34" s="25"/>
      <c r="H34" s="26"/>
      <c r="I34" s="25"/>
      <c r="J34" s="26"/>
      <c r="K34" s="31"/>
    </row>
    <row r="35" ht="16.5" customHeight="1">
      <c r="A35" s="23" t="s">
        <v>28</v>
      </c>
      <c r="B35" s="24"/>
      <c r="C35" s="25">
        <f t="shared" ref="C35:C36" si="24">D14</f>
        <v>3</v>
      </c>
      <c r="D35" s="26">
        <f t="shared" ref="D35:D36" si="25">(C35*100/$K35)</f>
        <v>33.33333333</v>
      </c>
      <c r="E35" s="25">
        <f t="shared" ref="E35:E36" si="26">F14</f>
        <v>1</v>
      </c>
      <c r="F35" s="26">
        <f t="shared" ref="F35:F36" si="27">(E35*100/$K35)</f>
        <v>11.11111111</v>
      </c>
      <c r="G35" s="25">
        <f t="shared" ref="G35:G36" si="28">H14</f>
        <v>2</v>
      </c>
      <c r="H35" s="26">
        <f t="shared" ref="H35:H36" si="29">(G35*100/$K35)</f>
        <v>22.22222222</v>
      </c>
      <c r="I35" s="25">
        <f t="shared" ref="I35:I36" si="30">J14</f>
        <v>3</v>
      </c>
      <c r="J35" s="26">
        <f t="shared" ref="J35:J36" si="31">(I35*100/$K35)</f>
        <v>33.33333333</v>
      </c>
      <c r="K35" s="31">
        <f t="shared" ref="K35:L35" si="23">SUM(C35,E35,G35,I35)</f>
        <v>9</v>
      </c>
      <c r="L35">
        <f t="shared" si="23"/>
        <v>100</v>
      </c>
    </row>
    <row r="36" ht="17.25" customHeight="1">
      <c r="A36" s="23" t="s">
        <v>31</v>
      </c>
      <c r="B36" s="24"/>
      <c r="C36" s="25">
        <f t="shared" si="24"/>
        <v>2</v>
      </c>
      <c r="D36" s="26">
        <f t="shared" si="25"/>
        <v>33.33333333</v>
      </c>
      <c r="E36" s="25">
        <f t="shared" si="26"/>
        <v>1</v>
      </c>
      <c r="F36" s="26">
        <f t="shared" si="27"/>
        <v>16.66666667</v>
      </c>
      <c r="G36" s="25">
        <f t="shared" si="28"/>
        <v>0</v>
      </c>
      <c r="H36" s="26">
        <f t="shared" si="29"/>
        <v>0</v>
      </c>
      <c r="I36" s="25">
        <f t="shared" si="30"/>
        <v>3</v>
      </c>
      <c r="J36" s="26">
        <f t="shared" si="31"/>
        <v>50</v>
      </c>
      <c r="K36" s="31">
        <f t="shared" ref="K36:L36" si="32">SUM(C36,E36,G36,I36)</f>
        <v>6</v>
      </c>
      <c r="L36">
        <f t="shared" si="32"/>
        <v>100</v>
      </c>
    </row>
    <row r="37" ht="15.75" customHeight="1"/>
    <row r="38" ht="16.5" customHeight="1">
      <c r="C38" s="50" t="s">
        <v>42</v>
      </c>
    </row>
    <row r="39" ht="16.5" customHeight="1">
      <c r="C39" s="50" t="s">
        <v>43</v>
      </c>
    </row>
    <row r="40" ht="15.75" customHeight="1">
      <c r="A40" s="51"/>
      <c r="B40" s="51"/>
      <c r="C40" s="51"/>
    </row>
    <row r="41" ht="17.25" customHeight="1">
      <c r="A41" s="52" t="s">
        <v>44</v>
      </c>
      <c r="B41" s="53" t="s">
        <v>45</v>
      </c>
      <c r="C41" s="54"/>
    </row>
    <row r="42" ht="17.25" customHeight="1">
      <c r="A42" s="55" t="s">
        <v>1</v>
      </c>
      <c r="B42" s="56" t="s">
        <v>46</v>
      </c>
      <c r="C42" s="56" t="s">
        <v>47</v>
      </c>
    </row>
    <row r="43" ht="17.25" customHeight="1">
      <c r="A43" s="57"/>
      <c r="B43" s="58"/>
      <c r="C43" s="58"/>
    </row>
    <row r="44" ht="16.5" customHeight="1">
      <c r="A44" s="43"/>
      <c r="B44" s="17"/>
      <c r="C44" s="17"/>
      <c r="D44" s="37" t="s">
        <v>41</v>
      </c>
    </row>
    <row r="45" ht="16.5" customHeight="1">
      <c r="A45" s="16" t="s">
        <v>9</v>
      </c>
      <c r="B45" s="31"/>
      <c r="C45" s="59">
        <v>0.3</v>
      </c>
      <c r="D45" s="60">
        <f>SUM(B46:B47)</f>
        <v>1</v>
      </c>
    </row>
    <row r="46" ht="16.5" customHeight="1">
      <c r="A46" s="23" t="s">
        <v>10</v>
      </c>
      <c r="B46" s="59">
        <v>0.3</v>
      </c>
      <c r="C46" s="31"/>
    </row>
    <row r="47" ht="17.25" customHeight="1">
      <c r="A47" s="23" t="s">
        <v>12</v>
      </c>
      <c r="B47" s="61">
        <v>0.7</v>
      </c>
      <c r="C47" s="62"/>
    </row>
    <row r="48" ht="16.5" customHeight="1">
      <c r="A48" s="16" t="s">
        <v>17</v>
      </c>
      <c r="B48" s="63"/>
      <c r="C48" s="59">
        <v>0.15</v>
      </c>
      <c r="D48" s="60">
        <f>SUM(B49)</f>
        <v>1</v>
      </c>
    </row>
    <row r="49" ht="16.5" customHeight="1">
      <c r="A49" s="38" t="s">
        <v>18</v>
      </c>
      <c r="B49" s="64">
        <v>1.0</v>
      </c>
      <c r="C49" s="31"/>
    </row>
    <row r="50" ht="16.5" customHeight="1">
      <c r="A50" s="16" t="s">
        <v>20</v>
      </c>
      <c r="B50" s="65"/>
      <c r="C50" s="59">
        <v>0.35</v>
      </c>
      <c r="D50" s="60">
        <f>SUM(B51:B53)</f>
        <v>1</v>
      </c>
    </row>
    <row r="51" ht="16.5" customHeight="1">
      <c r="A51" s="23" t="s">
        <v>21</v>
      </c>
      <c r="B51" s="66">
        <v>0.4</v>
      </c>
      <c r="C51" s="67"/>
    </row>
    <row r="52" ht="16.5" customHeight="1">
      <c r="A52" s="23" t="s">
        <v>23</v>
      </c>
      <c r="B52" s="66">
        <v>0.2</v>
      </c>
      <c r="C52" s="67"/>
    </row>
    <row r="53" ht="16.5" customHeight="1">
      <c r="A53" s="23" t="s">
        <v>25</v>
      </c>
      <c r="B53" s="66">
        <v>0.4</v>
      </c>
      <c r="C53" s="67"/>
    </row>
    <row r="54" ht="16.5" customHeight="1">
      <c r="A54" s="16" t="s">
        <v>27</v>
      </c>
      <c r="B54" s="68"/>
      <c r="C54" s="59">
        <v>0.2</v>
      </c>
      <c r="D54" s="60">
        <f>SUM(B55:B56)</f>
        <v>1</v>
      </c>
    </row>
    <row r="55" ht="16.5" customHeight="1">
      <c r="A55" s="23" t="s">
        <v>28</v>
      </c>
      <c r="B55" s="66">
        <v>0.3</v>
      </c>
      <c r="C55" s="67"/>
    </row>
    <row r="56" ht="17.25" customHeight="1">
      <c r="A56" s="23" t="s">
        <v>31</v>
      </c>
      <c r="B56" s="59">
        <v>0.7</v>
      </c>
      <c r="C56" s="62"/>
    </row>
    <row r="57" ht="15.75" customHeight="1">
      <c r="B57" s="37" t="s">
        <v>41</v>
      </c>
      <c r="C57" s="60">
        <f>SUM(C45:C56)</f>
        <v>1</v>
      </c>
    </row>
    <row r="58" ht="15.75" customHeight="1"/>
    <row r="59" ht="15.75" customHeight="1"/>
    <row r="60" ht="17.25" customHeight="1">
      <c r="A60" s="52" t="s">
        <v>48</v>
      </c>
      <c r="B60" s="53" t="s">
        <v>45</v>
      </c>
      <c r="C60" s="54"/>
    </row>
    <row r="61" ht="17.25" customHeight="1">
      <c r="A61" s="55" t="s">
        <v>1</v>
      </c>
      <c r="B61" s="56" t="s">
        <v>46</v>
      </c>
      <c r="C61" s="56" t="s">
        <v>47</v>
      </c>
      <c r="D61" s="6" t="s">
        <v>3</v>
      </c>
      <c r="E61" s="69"/>
      <c r="F61" s="7"/>
      <c r="G61" s="6" t="s">
        <v>4</v>
      </c>
      <c r="H61" s="69"/>
      <c r="I61" s="7"/>
      <c r="J61" s="6" t="s">
        <v>5</v>
      </c>
      <c r="K61" s="69"/>
      <c r="L61" s="7"/>
      <c r="M61" s="8" t="s">
        <v>6</v>
      </c>
      <c r="N61" s="69"/>
      <c r="O61" s="7"/>
    </row>
    <row r="62" ht="17.25" customHeight="1">
      <c r="A62" s="57"/>
      <c r="B62" s="70"/>
      <c r="C62" s="71"/>
      <c r="D62" s="72" t="s">
        <v>40</v>
      </c>
      <c r="E62" s="72" t="s">
        <v>49</v>
      </c>
      <c r="F62" s="73" t="s">
        <v>50</v>
      </c>
      <c r="G62" s="72" t="s">
        <v>40</v>
      </c>
      <c r="H62" s="72" t="s">
        <v>49</v>
      </c>
      <c r="I62" s="73" t="s">
        <v>50</v>
      </c>
      <c r="J62" s="72" t="s">
        <v>40</v>
      </c>
      <c r="K62" s="72" t="s">
        <v>49</v>
      </c>
      <c r="L62" s="73" t="s">
        <v>50</v>
      </c>
      <c r="M62" s="72" t="s">
        <v>40</v>
      </c>
      <c r="N62" s="72" t="s">
        <v>49</v>
      </c>
      <c r="O62" s="73" t="s">
        <v>50</v>
      </c>
    </row>
    <row r="63" ht="16.5" customHeight="1">
      <c r="A63" s="43"/>
      <c r="B63" s="18"/>
      <c r="C63" s="74"/>
      <c r="D63" s="75"/>
      <c r="E63" s="75"/>
      <c r="F63" s="76"/>
      <c r="G63" s="75"/>
      <c r="H63" s="75"/>
      <c r="I63" s="76"/>
      <c r="J63" s="75"/>
      <c r="K63" s="75"/>
      <c r="L63" s="76"/>
      <c r="M63" s="75"/>
      <c r="N63" s="75"/>
      <c r="O63" s="76"/>
    </row>
    <row r="64" ht="16.5" customHeight="1">
      <c r="A64" s="16" t="s">
        <v>9</v>
      </c>
      <c r="B64" s="18"/>
      <c r="C64" s="77">
        <f>C45</f>
        <v>0.3</v>
      </c>
      <c r="D64" s="36"/>
      <c r="E64" s="36"/>
      <c r="F64" s="78" t="str">
        <f>(E65+E66)*$C$64</f>
        <v>#VALUE!</v>
      </c>
      <c r="G64" s="36"/>
      <c r="H64" s="36"/>
      <c r="I64" s="78">
        <f>(H65+H66)*$C$64</f>
        <v>11.25</v>
      </c>
      <c r="J64" s="36"/>
      <c r="K64" s="36"/>
      <c r="L64" s="78">
        <f>(K65+K66)*$C$64</f>
        <v>6.25</v>
      </c>
      <c r="M64" s="36"/>
      <c r="N64" s="36"/>
      <c r="O64" s="78">
        <f>(N65+N66)*$C$64</f>
        <v>10.5</v>
      </c>
    </row>
    <row r="65" ht="16.5" customHeight="1">
      <c r="A65" s="23" t="s">
        <v>10</v>
      </c>
      <c r="B65" s="79">
        <f t="shared" ref="B65:C65" si="33">B46</f>
        <v>0.3</v>
      </c>
      <c r="C65" s="74" t="str">
        <f t="shared" si="33"/>
        <v/>
      </c>
      <c r="D65" s="36">
        <f t="shared" ref="D65:D75" si="35">D26</f>
        <v>22.22222222</v>
      </c>
      <c r="E65" s="36">
        <f t="shared" ref="E65:E66" si="36">D65*$B65</f>
        <v>6.666666667</v>
      </c>
      <c r="F65" s="78"/>
      <c r="G65" s="36">
        <f t="shared" ref="G65:G75" si="37">F26</f>
        <v>33.33333333</v>
      </c>
      <c r="H65" s="36">
        <f t="shared" ref="H65:H75" si="38">G65*$B65</f>
        <v>10</v>
      </c>
      <c r="I65" s="78"/>
      <c r="J65" s="36">
        <f t="shared" ref="J65:J75" si="39">H26</f>
        <v>11.11111111</v>
      </c>
      <c r="K65" s="36">
        <f t="shared" ref="K65:K75" si="40">J65*$B65</f>
        <v>3.333333333</v>
      </c>
      <c r="L65" s="78"/>
      <c r="M65" s="36">
        <f t="shared" ref="M65:M75" si="41">J26</f>
        <v>33.33333333</v>
      </c>
      <c r="N65" s="36">
        <f t="shared" ref="N65:N75" si="42">M65*$B65</f>
        <v>10</v>
      </c>
      <c r="O65" s="78"/>
    </row>
    <row r="66" ht="17.25" customHeight="1">
      <c r="A66" s="23" t="s">
        <v>12</v>
      </c>
      <c r="B66" s="79">
        <f t="shared" ref="B66:C66" si="34">B47</f>
        <v>0.7</v>
      </c>
      <c r="C66" s="77" t="str">
        <f t="shared" si="34"/>
        <v/>
      </c>
      <c r="D66" s="36" t="str">
        <f t="shared" si="35"/>
        <v>#VALUE!</v>
      </c>
      <c r="E66" s="36" t="str">
        <f t="shared" si="36"/>
        <v>#VALUE!</v>
      </c>
      <c r="F66" s="78"/>
      <c r="G66" s="36">
        <f t="shared" si="37"/>
        <v>39.28571429</v>
      </c>
      <c r="H66" s="36">
        <f t="shared" si="38"/>
        <v>27.5</v>
      </c>
      <c r="I66" s="78"/>
      <c r="J66" s="36">
        <f t="shared" si="39"/>
        <v>25</v>
      </c>
      <c r="K66" s="36">
        <f t="shared" si="40"/>
        <v>17.5</v>
      </c>
      <c r="L66" s="78"/>
      <c r="M66" s="36">
        <f t="shared" si="41"/>
        <v>35.71428571</v>
      </c>
      <c r="N66" s="36">
        <f t="shared" si="42"/>
        <v>25</v>
      </c>
      <c r="O66" s="78"/>
    </row>
    <row r="67" ht="16.5" customHeight="1">
      <c r="A67" s="16" t="s">
        <v>17</v>
      </c>
      <c r="B67" s="18" t="str">
        <f t="shared" ref="B67:C67" si="43">B48</f>
        <v/>
      </c>
      <c r="C67" s="77">
        <f t="shared" si="43"/>
        <v>0.15</v>
      </c>
      <c r="D67" s="36" t="str">
        <f t="shared" si="35"/>
        <v/>
      </c>
      <c r="E67" s="36"/>
      <c r="F67" s="78">
        <f>(E68*$C$67)</f>
        <v>5</v>
      </c>
      <c r="G67" s="36" t="str">
        <f t="shared" si="37"/>
        <v/>
      </c>
      <c r="H67" s="36">
        <f t="shared" si="38"/>
        <v>0</v>
      </c>
      <c r="I67" s="78">
        <f>(H68*$C$67)</f>
        <v>2.5</v>
      </c>
      <c r="J67" s="36" t="str">
        <f t="shared" si="39"/>
        <v/>
      </c>
      <c r="K67" s="36">
        <f t="shared" si="40"/>
        <v>0</v>
      </c>
      <c r="L67" s="78">
        <f>(K68*$C$67)</f>
        <v>2.5</v>
      </c>
      <c r="M67" s="36" t="str">
        <f t="shared" si="41"/>
        <v/>
      </c>
      <c r="N67" s="36">
        <f t="shared" si="42"/>
        <v>0</v>
      </c>
      <c r="O67" s="78">
        <f>(N68*$C$67)</f>
        <v>5</v>
      </c>
    </row>
    <row r="68" ht="16.5" customHeight="1">
      <c r="A68" s="38" t="s">
        <v>18</v>
      </c>
      <c r="B68" s="79">
        <f t="shared" ref="B68:C68" si="44">B49</f>
        <v>1</v>
      </c>
      <c r="C68" s="74" t="str">
        <f t="shared" si="44"/>
        <v/>
      </c>
      <c r="D68" s="36">
        <f t="shared" si="35"/>
        <v>33.33333333</v>
      </c>
      <c r="E68" s="36">
        <f>D68*$B68</f>
        <v>33.33333333</v>
      </c>
      <c r="F68" s="78"/>
      <c r="G68" s="36">
        <f t="shared" si="37"/>
        <v>16.66666667</v>
      </c>
      <c r="H68" s="36">
        <f t="shared" si="38"/>
        <v>16.66666667</v>
      </c>
      <c r="I68" s="78"/>
      <c r="J68" s="36">
        <f t="shared" si="39"/>
        <v>16.66666667</v>
      </c>
      <c r="K68" s="36">
        <f t="shared" si="40"/>
        <v>16.66666667</v>
      </c>
      <c r="L68" s="78"/>
      <c r="M68" s="36">
        <f t="shared" si="41"/>
        <v>33.33333333</v>
      </c>
      <c r="N68" s="36">
        <f t="shared" si="42"/>
        <v>33.33333333</v>
      </c>
      <c r="O68" s="78"/>
    </row>
    <row r="69" ht="16.5" customHeight="1">
      <c r="A69" s="16" t="s">
        <v>20</v>
      </c>
      <c r="B69" s="79" t="str">
        <f t="shared" ref="B69:C69" si="45">B50</f>
        <v/>
      </c>
      <c r="C69" s="77">
        <f t="shared" si="45"/>
        <v>0.35</v>
      </c>
      <c r="D69" s="36" t="str">
        <f t="shared" si="35"/>
        <v/>
      </c>
      <c r="E69" s="36"/>
      <c r="F69" s="78">
        <f>(E70+E71+E72)*$C$69</f>
        <v>11.32449533</v>
      </c>
      <c r="G69" s="36" t="str">
        <f t="shared" si="37"/>
        <v/>
      </c>
      <c r="H69" s="36">
        <f t="shared" si="38"/>
        <v>0</v>
      </c>
      <c r="I69" s="78">
        <f>(H70+H71+H72)*$C$69</f>
        <v>1.893259282</v>
      </c>
      <c r="J69" s="36" t="str">
        <f t="shared" si="39"/>
        <v/>
      </c>
      <c r="K69" s="36">
        <f t="shared" si="40"/>
        <v>0</v>
      </c>
      <c r="L69" s="78">
        <f>(K70+K71+K72)*$C$69</f>
        <v>4.499708359</v>
      </c>
      <c r="M69" s="36" t="str">
        <f t="shared" si="41"/>
        <v/>
      </c>
      <c r="N69" s="36">
        <f t="shared" si="42"/>
        <v>0</v>
      </c>
      <c r="O69" s="78">
        <f>(N70+N71+N72)*$C$69</f>
        <v>17.28253703</v>
      </c>
    </row>
    <row r="70" ht="16.5" customHeight="1">
      <c r="A70" s="23" t="s">
        <v>21</v>
      </c>
      <c r="B70" s="79">
        <f t="shared" ref="B70:C70" si="46">B51</f>
        <v>0.4</v>
      </c>
      <c r="C70" s="74" t="str">
        <f t="shared" si="46"/>
        <v/>
      </c>
      <c r="D70" s="36">
        <f t="shared" si="35"/>
        <v>28.30188679</v>
      </c>
      <c r="E70" s="36">
        <f t="shared" ref="E70:E72" si="48">D70*$B70</f>
        <v>11.32075472</v>
      </c>
      <c r="F70" s="78"/>
      <c r="G70" s="36">
        <f t="shared" si="37"/>
        <v>5.660377358</v>
      </c>
      <c r="H70" s="36">
        <f t="shared" si="38"/>
        <v>2.264150943</v>
      </c>
      <c r="I70" s="78"/>
      <c r="J70" s="36">
        <f t="shared" si="39"/>
        <v>18.86792453</v>
      </c>
      <c r="K70" s="36">
        <f t="shared" si="40"/>
        <v>7.547169811</v>
      </c>
      <c r="L70" s="78"/>
      <c r="M70" s="36">
        <f t="shared" si="41"/>
        <v>47.16981132</v>
      </c>
      <c r="N70" s="36">
        <f t="shared" si="42"/>
        <v>18.86792453</v>
      </c>
      <c r="O70" s="78"/>
    </row>
    <row r="71" ht="16.5" customHeight="1">
      <c r="A71" s="23" t="s">
        <v>23</v>
      </c>
      <c r="B71" s="79">
        <f t="shared" ref="B71:C71" si="47">B52</f>
        <v>0.2</v>
      </c>
      <c r="C71" s="74" t="str">
        <f t="shared" si="47"/>
        <v/>
      </c>
      <c r="D71" s="36">
        <f t="shared" si="35"/>
        <v>32.25806452</v>
      </c>
      <c r="E71" s="36">
        <f t="shared" si="48"/>
        <v>6.451612903</v>
      </c>
      <c r="F71" s="78"/>
      <c r="G71" s="36">
        <f t="shared" si="37"/>
        <v>3.225806452</v>
      </c>
      <c r="H71" s="36">
        <f t="shared" si="38"/>
        <v>0.6451612903</v>
      </c>
      <c r="I71" s="78"/>
      <c r="J71" s="36">
        <f t="shared" si="39"/>
        <v>16.12903226</v>
      </c>
      <c r="K71" s="36">
        <f t="shared" si="40"/>
        <v>3.225806452</v>
      </c>
      <c r="L71" s="78"/>
      <c r="M71" s="36">
        <f t="shared" si="41"/>
        <v>48.38709677</v>
      </c>
      <c r="N71" s="36">
        <f t="shared" si="42"/>
        <v>9.677419355</v>
      </c>
      <c r="O71" s="78"/>
    </row>
    <row r="72" ht="16.5" customHeight="1">
      <c r="A72" s="23" t="s">
        <v>25</v>
      </c>
      <c r="B72" s="79">
        <f t="shared" ref="B72:C72" si="49">B53</f>
        <v>0.4</v>
      </c>
      <c r="C72" s="74" t="str">
        <f t="shared" si="49"/>
        <v/>
      </c>
      <c r="D72" s="36">
        <f t="shared" si="35"/>
        <v>36.45833333</v>
      </c>
      <c r="E72" s="36">
        <f t="shared" si="48"/>
        <v>14.58333333</v>
      </c>
      <c r="F72" s="78"/>
      <c r="G72" s="36">
        <f t="shared" si="37"/>
        <v>6.25</v>
      </c>
      <c r="H72" s="36">
        <f t="shared" si="38"/>
        <v>2.5</v>
      </c>
      <c r="I72" s="78"/>
      <c r="J72" s="36">
        <f t="shared" si="39"/>
        <v>5.208333333</v>
      </c>
      <c r="K72" s="36">
        <f t="shared" si="40"/>
        <v>2.083333333</v>
      </c>
      <c r="L72" s="78"/>
      <c r="M72" s="36">
        <f t="shared" si="41"/>
        <v>52.08333333</v>
      </c>
      <c r="N72" s="36">
        <f t="shared" si="42"/>
        <v>20.83333333</v>
      </c>
      <c r="O72" s="78"/>
    </row>
    <row r="73" ht="16.5" customHeight="1">
      <c r="A73" s="16" t="s">
        <v>27</v>
      </c>
      <c r="B73" s="79" t="str">
        <f t="shared" ref="B73:C73" si="50">B54</f>
        <v/>
      </c>
      <c r="C73" s="77">
        <f t="shared" si="50"/>
        <v>0.2</v>
      </c>
      <c r="D73" s="36" t="str">
        <f t="shared" si="35"/>
        <v/>
      </c>
      <c r="E73" s="36"/>
      <c r="F73" s="78">
        <f>(E74+E75)*$C$73</f>
        <v>6.666666667</v>
      </c>
      <c r="G73" s="36" t="str">
        <f t="shared" si="37"/>
        <v/>
      </c>
      <c r="H73" s="36">
        <f t="shared" si="38"/>
        <v>0</v>
      </c>
      <c r="I73" s="78">
        <f>(H74+H75)*$C$73</f>
        <v>3</v>
      </c>
      <c r="J73" s="36" t="str">
        <f t="shared" si="39"/>
        <v/>
      </c>
      <c r="K73" s="36">
        <f t="shared" si="40"/>
        <v>0</v>
      </c>
      <c r="L73" s="78">
        <f>(K74+K75)*$C$73</f>
        <v>1.333333333</v>
      </c>
      <c r="M73" s="36" t="str">
        <f t="shared" si="41"/>
        <v/>
      </c>
      <c r="N73" s="36">
        <f t="shared" si="42"/>
        <v>0</v>
      </c>
      <c r="O73" s="78">
        <f>(N74+N75)*$C$73</f>
        <v>9</v>
      </c>
    </row>
    <row r="74" ht="16.5" customHeight="1">
      <c r="A74" s="23" t="s">
        <v>28</v>
      </c>
      <c r="B74" s="79">
        <f t="shared" ref="B74:C74" si="51">B55</f>
        <v>0.3</v>
      </c>
      <c r="C74" s="74" t="str">
        <f t="shared" si="51"/>
        <v/>
      </c>
      <c r="D74" s="36">
        <f t="shared" si="35"/>
        <v>33.33333333</v>
      </c>
      <c r="E74" s="36">
        <f t="shared" ref="E74:E75" si="52">D74*$B74</f>
        <v>10</v>
      </c>
      <c r="F74" s="78"/>
      <c r="G74" s="36">
        <f t="shared" si="37"/>
        <v>11.11111111</v>
      </c>
      <c r="H74" s="36">
        <f t="shared" si="38"/>
        <v>3.333333333</v>
      </c>
      <c r="I74" s="78"/>
      <c r="J74" s="36">
        <f t="shared" si="39"/>
        <v>22.22222222</v>
      </c>
      <c r="K74" s="36">
        <f t="shared" si="40"/>
        <v>6.666666667</v>
      </c>
      <c r="L74" s="78"/>
      <c r="M74" s="36">
        <f t="shared" si="41"/>
        <v>33.33333333</v>
      </c>
      <c r="N74" s="36">
        <f t="shared" si="42"/>
        <v>10</v>
      </c>
      <c r="O74" s="78"/>
    </row>
    <row r="75" ht="17.25" customHeight="1">
      <c r="A75" s="80" t="s">
        <v>31</v>
      </c>
      <c r="B75" s="81">
        <f>B56</f>
        <v>0.7</v>
      </c>
      <c r="C75" s="82"/>
      <c r="D75" s="83">
        <f t="shared" si="35"/>
        <v>33.33333333</v>
      </c>
      <c r="E75" s="83">
        <f t="shared" si="52"/>
        <v>23.33333333</v>
      </c>
      <c r="F75" s="84"/>
      <c r="G75" s="83">
        <f t="shared" si="37"/>
        <v>16.66666667</v>
      </c>
      <c r="H75" s="83">
        <f t="shared" si="38"/>
        <v>11.66666667</v>
      </c>
      <c r="I75" s="84"/>
      <c r="J75" s="83">
        <f t="shared" si="39"/>
        <v>0</v>
      </c>
      <c r="K75" s="83">
        <f t="shared" si="40"/>
        <v>0</v>
      </c>
      <c r="L75" s="84"/>
      <c r="M75" s="83">
        <f t="shared" si="41"/>
        <v>50</v>
      </c>
      <c r="N75" s="83">
        <f t="shared" si="42"/>
        <v>35</v>
      </c>
      <c r="O75" s="84"/>
    </row>
    <row r="76" ht="15.75" customHeight="1">
      <c r="F76" s="85" t="str">
        <f>SUM(F64:F75)</f>
        <v>#VALUE!</v>
      </c>
      <c r="I76" s="85">
        <f>SUM(I64:I75)</f>
        <v>18.64325928</v>
      </c>
      <c r="L76" s="85">
        <f>SUM(L64:L75)</f>
        <v>14.58304169</v>
      </c>
      <c r="O76" s="86">
        <f>SUM(O64:O75)</f>
        <v>41.78253703</v>
      </c>
    </row>
    <row r="77" ht="15.75" customHeight="1"/>
    <row r="78" ht="16.5" customHeight="1">
      <c r="E78" s="50" t="s">
        <v>51</v>
      </c>
    </row>
    <row r="79" ht="16.5" customHeight="1">
      <c r="A79" s="51"/>
      <c r="B79" s="51"/>
      <c r="C79" s="51"/>
      <c r="E79" s="50" t="s">
        <v>52</v>
      </c>
    </row>
    <row r="80" ht="16.5" customHeight="1">
      <c r="A80" s="87"/>
      <c r="B80" s="88"/>
    </row>
    <row r="81" ht="16.5" customHeight="1">
      <c r="A81" s="50" t="s">
        <v>53</v>
      </c>
      <c r="B81" s="88"/>
      <c r="C81" s="88"/>
    </row>
    <row r="82" ht="16.5" customHeight="1">
      <c r="A82" s="50" t="s">
        <v>54</v>
      </c>
      <c r="B82" s="51"/>
      <c r="C82" s="51"/>
    </row>
    <row r="83" ht="16.5" customHeight="1">
      <c r="A83" s="50" t="s">
        <v>55</v>
      </c>
      <c r="B83" s="51"/>
      <c r="C83" s="51"/>
    </row>
    <row r="84" ht="16.5" customHeight="1">
      <c r="A84" s="50" t="s">
        <v>56</v>
      </c>
      <c r="B84" s="51"/>
      <c r="C84" s="51"/>
    </row>
    <row r="85" ht="16.5" customHeight="1">
      <c r="A85" s="89" t="s">
        <v>57</v>
      </c>
      <c r="B85" s="90"/>
      <c r="C85" s="51"/>
    </row>
    <row r="86" ht="16.5" customHeight="1">
      <c r="A86" s="89" t="s">
        <v>58</v>
      </c>
      <c r="B86" s="90"/>
      <c r="C86" s="90"/>
    </row>
    <row r="87" ht="16.5" customHeight="1">
      <c r="A87" s="50"/>
      <c r="B87" s="51"/>
      <c r="C87" s="51"/>
    </row>
    <row r="88" ht="16.5" customHeight="1">
      <c r="A88" s="89" t="s">
        <v>59</v>
      </c>
      <c r="B88" s="91"/>
      <c r="C88" s="51"/>
    </row>
    <row r="89" ht="16.5" customHeight="1">
      <c r="A89" s="92"/>
      <c r="B89" s="91"/>
      <c r="C89" s="51"/>
    </row>
    <row r="90" ht="16.5" customHeight="1">
      <c r="A90" s="89" t="s">
        <v>60</v>
      </c>
      <c r="B90" s="51"/>
      <c r="C90" s="9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6">
    <mergeCell ref="E22:F22"/>
    <mergeCell ref="G22:H22"/>
    <mergeCell ref="K21:K23"/>
    <mergeCell ref="I22:J22"/>
    <mergeCell ref="M61:O61"/>
    <mergeCell ref="J61:L61"/>
    <mergeCell ref="B60:C60"/>
    <mergeCell ref="B41:C41"/>
    <mergeCell ref="B80:C80"/>
    <mergeCell ref="D61:F61"/>
    <mergeCell ref="E2:F2"/>
    <mergeCell ref="G2:H2"/>
    <mergeCell ref="I2:J2"/>
    <mergeCell ref="C2:D2"/>
    <mergeCell ref="C22:D22"/>
    <mergeCell ref="G61:I6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