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studios\Sistemas-2025\Simulacion\TPI\Informe\"/>
    </mc:Choice>
  </mc:AlternateContent>
  <xr:revisionPtr revIDLastSave="0" documentId="13_ncr:1_{41BC3FE1-1DA4-44CB-804C-9939B986F4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4" i="1"/>
  <c r="Q13" i="1"/>
  <c r="Q12" i="1"/>
  <c r="Q11" i="1"/>
  <c r="Q10" i="1"/>
  <c r="Q9" i="1"/>
  <c r="Q8" i="1"/>
  <c r="Q7" i="1"/>
  <c r="Q6" i="1"/>
  <c r="Q5" i="1"/>
  <c r="Q4" i="1"/>
  <c r="I20" i="1"/>
  <c r="I21" i="1"/>
  <c r="J21" i="1" s="1"/>
  <c r="I22" i="1"/>
  <c r="J22" i="1" s="1"/>
  <c r="I23" i="1"/>
  <c r="I24" i="1"/>
  <c r="J24" i="1" s="1"/>
  <c r="I25" i="1"/>
  <c r="M25" i="1" s="1"/>
  <c r="I26" i="1"/>
  <c r="I27" i="1"/>
  <c r="I28" i="1"/>
  <c r="I29" i="1"/>
  <c r="I30" i="1"/>
  <c r="I31" i="1"/>
  <c r="J27" i="1"/>
  <c r="M26" i="1"/>
  <c r="K25" i="1"/>
  <c r="J23" i="1"/>
  <c r="K21" i="1"/>
  <c r="J20" i="1"/>
  <c r="J28" i="1"/>
  <c r="L29" i="1"/>
  <c r="L30" i="1"/>
  <c r="M31" i="1"/>
  <c r="K23" i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J25" i="1"/>
  <c r="H21" i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M5" i="1"/>
  <c r="M6" i="1"/>
  <c r="M7" i="1"/>
  <c r="M8" i="1"/>
  <c r="M9" i="1"/>
  <c r="M10" i="1"/>
  <c r="M11" i="1"/>
  <c r="M12" i="1"/>
  <c r="M13" i="1"/>
  <c r="M14" i="1"/>
  <c r="M15" i="1"/>
  <c r="L5" i="1"/>
  <c r="L6" i="1"/>
  <c r="L7" i="1"/>
  <c r="L8" i="1"/>
  <c r="L9" i="1"/>
  <c r="L10" i="1"/>
  <c r="L11" i="1"/>
  <c r="L12" i="1"/>
  <c r="L13" i="1"/>
  <c r="L14" i="1"/>
  <c r="L15" i="1"/>
  <c r="K5" i="1"/>
  <c r="K6" i="1"/>
  <c r="K7" i="1"/>
  <c r="K8" i="1"/>
  <c r="K9" i="1"/>
  <c r="K10" i="1"/>
  <c r="K11" i="1"/>
  <c r="K12" i="1"/>
  <c r="K13" i="1"/>
  <c r="K14" i="1"/>
  <c r="K15" i="1"/>
  <c r="M4" i="1"/>
  <c r="L4" i="1"/>
  <c r="K4" i="1"/>
  <c r="J5" i="1"/>
  <c r="J6" i="1"/>
  <c r="J7" i="1"/>
  <c r="J8" i="1"/>
  <c r="J9" i="1"/>
  <c r="J10" i="1"/>
  <c r="J11" i="1"/>
  <c r="J12" i="1"/>
  <c r="J13" i="1"/>
  <c r="J14" i="1"/>
  <c r="J15" i="1"/>
  <c r="J4" i="1"/>
  <c r="H6" i="1"/>
  <c r="H7" i="1" s="1"/>
  <c r="H8" i="1" s="1"/>
  <c r="H9" i="1" s="1"/>
  <c r="H10" i="1" s="1"/>
  <c r="H11" i="1" s="1"/>
  <c r="H12" i="1" s="1"/>
  <c r="H13" i="1" s="1"/>
  <c r="H14" i="1" s="1"/>
  <c r="H15" i="1" s="1"/>
  <c r="H5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L22" i="1" l="1"/>
  <c r="M21" i="1"/>
  <c r="L21" i="1"/>
  <c r="M22" i="1"/>
  <c r="K22" i="1"/>
  <c r="K20" i="1"/>
  <c r="M20" i="1"/>
  <c r="L20" i="1"/>
  <c r="K30" i="1"/>
  <c r="J30" i="1"/>
  <c r="M29" i="1"/>
  <c r="J26" i="1"/>
  <c r="L25" i="1"/>
  <c r="K29" i="1"/>
  <c r="J29" i="1"/>
  <c r="M24" i="1"/>
  <c r="L24" i="1"/>
  <c r="M27" i="1"/>
  <c r="K24" i="1"/>
  <c r="K31" i="1"/>
  <c r="K27" i="1"/>
  <c r="L27" i="1"/>
  <c r="J31" i="1"/>
  <c r="L31" i="1"/>
  <c r="L26" i="1"/>
  <c r="M28" i="1"/>
  <c r="K26" i="1"/>
  <c r="L28" i="1"/>
  <c r="M23" i="1"/>
  <c r="M30" i="1"/>
  <c r="K28" i="1"/>
  <c r="L23" i="1"/>
</calcChain>
</file>

<file path=xl/sharedStrings.xml><?xml version="1.0" encoding="utf-8"?>
<sst xmlns="http://schemas.openxmlformats.org/spreadsheetml/2006/main" count="23" uniqueCount="20">
  <si>
    <t>Calles</t>
  </si>
  <si>
    <t>Identificador</t>
  </si>
  <si>
    <t>Avenue des Champs-Élysées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</si>
  <si>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Avenue de la Grande-Armée</t>
    </r>
  </si>
  <si>
    <t>Avenue Kléber</t>
  </si>
  <si>
    <t>Avenue Foch</t>
  </si>
  <si>
    <t>Avenue Hoche</t>
  </si>
  <si>
    <t>Avenue Carnot</t>
  </si>
  <si>
    <t>Avenue Mac-Mahon</t>
  </si>
  <si>
    <t>Avenue Victor-Hugo</t>
  </si>
  <si>
    <t>Avenue d’Iéna</t>
  </si>
  <si>
    <t>Avenue Marceau</t>
  </si>
  <si>
    <t>Avenue de Friedland</t>
  </si>
  <si>
    <t>Avenue de Wagram</t>
  </si>
  <si>
    <t>Tasa de arribos (λ) [cant. autos/min]</t>
  </si>
  <si>
    <t>Tiempo medio de permanencia (W) [min]</t>
  </si>
  <si>
    <t>L =</t>
  </si>
  <si>
    <t>Sumatoria lambda =</t>
  </si>
  <si>
    <t>Autos por avenida (L) [cant. autos]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</si>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</sst>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Arial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justify" vertic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0" fillId="0" borderId="7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/>
    <xf numFmtId="9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34"/>
  <sheetViews>
    <sheetView tabSelected="1" topLeftCell="D2" workbookViewId="0">
      <selection activeCell="Q23" sqref="Q23"/>
    </sheetView>
  </sheetViews>
  <sheetFormatPr baseColWidth="10" defaultColWidth="9.109375" defaultRowHeight="14.4" x14ac:dyDescent="0.3"/>
  <cols>
    <col min="3" max="3" width="33.44140625" customWidth="1"/>
    <col min="4" max="4" width="12.44140625" style="2" bestFit="1" customWidth="1"/>
    <col min="8" max="8" width="9.109375" style="2"/>
    <col min="15" max="15" width="17.33203125" bestFit="1" customWidth="1"/>
    <col min="16" max="16" width="14.21875" customWidth="1"/>
    <col min="17" max="17" width="19.109375" customWidth="1"/>
  </cols>
  <sheetData>
    <row r="1" spans="3:22" ht="15" thickBot="1" x14ac:dyDescent="0.35"/>
    <row r="2" spans="3:22" x14ac:dyDescent="0.3">
      <c r="C2" s="3" t="s">
        <v>0</v>
      </c>
      <c r="D2" s="4" t="s">
        <v>1</v>
      </c>
      <c r="H2" s="15" t="s">
        <v>14</v>
      </c>
      <c r="I2" s="16"/>
      <c r="J2" s="16"/>
      <c r="K2" s="16"/>
      <c r="L2" s="16"/>
      <c r="M2" s="17"/>
      <c r="P2" s="15" t="s">
        <v>18</v>
      </c>
      <c r="Q2" s="16"/>
      <c r="R2" s="22"/>
      <c r="S2" s="22"/>
      <c r="T2" s="22"/>
      <c r="U2" s="22"/>
      <c r="V2" s="18"/>
    </row>
    <row r="3" spans="3:22" ht="18" customHeight="1" x14ac:dyDescent="0.3">
      <c r="C3" s="5" t="s">
        <v>2</v>
      </c>
      <c r="D3" s="6">
        <v>1</v>
      </c>
      <c r="H3" s="11" t="s">
        <v>0</v>
      </c>
      <c r="I3" s="10">
        <v>1</v>
      </c>
      <c r="J3" s="10">
        <v>0.8</v>
      </c>
      <c r="K3" s="10">
        <v>0.6</v>
      </c>
      <c r="L3" s="10">
        <v>0.4</v>
      </c>
      <c r="M3" s="12">
        <v>0.2</v>
      </c>
      <c r="P3" s="11" t="s">
        <v>0</v>
      </c>
      <c r="Q3" s="20" t="s">
        <v>19</v>
      </c>
      <c r="R3" s="23"/>
      <c r="S3" s="23"/>
      <c r="T3" s="23"/>
      <c r="U3" s="23"/>
      <c r="V3" s="18"/>
    </row>
    <row r="4" spans="3:22" ht="16.5" customHeight="1" x14ac:dyDescent="0.3">
      <c r="C4" s="7" t="s">
        <v>3</v>
      </c>
      <c r="D4" s="6">
        <f>D3+1</f>
        <v>2</v>
      </c>
      <c r="H4" s="11">
        <v>1</v>
      </c>
      <c r="I4" s="1">
        <v>11</v>
      </c>
      <c r="J4" s="1">
        <f>0.8*I4</f>
        <v>8.8000000000000007</v>
      </c>
      <c r="K4" s="1">
        <f>0.6*I4</f>
        <v>6.6</v>
      </c>
      <c r="L4" s="1">
        <f>0.4*I4</f>
        <v>4.4000000000000004</v>
      </c>
      <c r="M4" s="6">
        <f>0.2*I4</f>
        <v>2.2000000000000002</v>
      </c>
      <c r="P4" s="11">
        <v>1</v>
      </c>
      <c r="Q4" s="21">
        <f>$K$33* (I4/$P$33)</f>
        <v>10.05982905982906</v>
      </c>
      <c r="R4" s="19"/>
      <c r="S4" s="19"/>
      <c r="T4" s="19"/>
      <c r="U4" s="19"/>
      <c r="V4" s="18"/>
    </row>
    <row r="5" spans="3:22" ht="15" x14ac:dyDescent="0.3">
      <c r="C5" s="5" t="s">
        <v>4</v>
      </c>
      <c r="D5" s="6">
        <f t="shared" ref="D5:D14" si="0">D4+1</f>
        <v>3</v>
      </c>
      <c r="H5" s="11">
        <f>H4+1</f>
        <v>2</v>
      </c>
      <c r="I5" s="1">
        <v>15</v>
      </c>
      <c r="J5" s="1">
        <f t="shared" ref="J5:J15" si="1">0.8*I5</f>
        <v>12</v>
      </c>
      <c r="K5" s="1">
        <f t="shared" ref="K5:K15" si="2">0.6*I5</f>
        <v>9</v>
      </c>
      <c r="L5" s="1">
        <f t="shared" ref="L5:L15" si="3">0.4*I5</f>
        <v>6</v>
      </c>
      <c r="M5" s="6">
        <f t="shared" ref="M5:M15" si="4">0.2*I5</f>
        <v>3</v>
      </c>
      <c r="P5" s="11">
        <f>P4+1</f>
        <v>2</v>
      </c>
      <c r="Q5" s="21">
        <f t="shared" ref="Q5:Q15" si="5">$K$33* (I5/$P$33)</f>
        <v>13.717948717948717</v>
      </c>
      <c r="R5" s="19"/>
      <c r="S5" s="19"/>
      <c r="T5" s="19"/>
      <c r="U5" s="19"/>
      <c r="V5" s="18"/>
    </row>
    <row r="6" spans="3:22" ht="15" x14ac:dyDescent="0.3">
      <c r="C6" s="5" t="s">
        <v>9</v>
      </c>
      <c r="D6" s="6">
        <f t="shared" si="0"/>
        <v>4</v>
      </c>
      <c r="H6" s="11">
        <f t="shared" ref="H6:H15" si="6">H5+1</f>
        <v>3</v>
      </c>
      <c r="I6" s="1">
        <v>12</v>
      </c>
      <c r="J6" s="1">
        <f t="shared" si="1"/>
        <v>9.6000000000000014</v>
      </c>
      <c r="K6" s="1">
        <f t="shared" si="2"/>
        <v>7.1999999999999993</v>
      </c>
      <c r="L6" s="1">
        <f t="shared" si="3"/>
        <v>4.8000000000000007</v>
      </c>
      <c r="M6" s="6">
        <f t="shared" si="4"/>
        <v>2.4000000000000004</v>
      </c>
      <c r="P6" s="11">
        <f t="shared" ref="P6:P15" si="7">P5+1</f>
        <v>3</v>
      </c>
      <c r="Q6" s="21">
        <f t="shared" si="5"/>
        <v>10.974358974358974</v>
      </c>
      <c r="R6" s="19"/>
      <c r="S6" s="19"/>
      <c r="T6" s="19"/>
      <c r="U6" s="19"/>
      <c r="V6" s="18"/>
    </row>
    <row r="7" spans="3:22" ht="15" x14ac:dyDescent="0.3">
      <c r="C7" s="5" t="s">
        <v>5</v>
      </c>
      <c r="D7" s="6">
        <f t="shared" si="0"/>
        <v>5</v>
      </c>
      <c r="H7" s="11">
        <f t="shared" si="6"/>
        <v>4</v>
      </c>
      <c r="I7" s="1">
        <v>5</v>
      </c>
      <c r="J7" s="1">
        <f t="shared" si="1"/>
        <v>4</v>
      </c>
      <c r="K7" s="1">
        <f t="shared" si="2"/>
        <v>3</v>
      </c>
      <c r="L7" s="1">
        <f t="shared" si="3"/>
        <v>2</v>
      </c>
      <c r="M7" s="6">
        <f t="shared" si="4"/>
        <v>1</v>
      </c>
      <c r="P7" s="11">
        <f t="shared" si="7"/>
        <v>4</v>
      </c>
      <c r="Q7" s="21">
        <f t="shared" si="5"/>
        <v>4.5726495726495724</v>
      </c>
      <c r="R7" s="19"/>
      <c r="S7" s="19"/>
      <c r="T7" s="19"/>
      <c r="U7" s="19"/>
      <c r="V7" s="18"/>
    </row>
    <row r="8" spans="3:22" ht="15" x14ac:dyDescent="0.3">
      <c r="C8" s="5" t="s">
        <v>6</v>
      </c>
      <c r="D8" s="6">
        <f t="shared" si="0"/>
        <v>6</v>
      </c>
      <c r="H8" s="11">
        <f t="shared" si="6"/>
        <v>5</v>
      </c>
      <c r="I8" s="1">
        <v>11</v>
      </c>
      <c r="J8" s="1">
        <f t="shared" si="1"/>
        <v>8.8000000000000007</v>
      </c>
      <c r="K8" s="1">
        <f t="shared" si="2"/>
        <v>6.6</v>
      </c>
      <c r="L8" s="1">
        <f t="shared" si="3"/>
        <v>4.4000000000000004</v>
      </c>
      <c r="M8" s="6">
        <f t="shared" si="4"/>
        <v>2.2000000000000002</v>
      </c>
      <c r="P8" s="11">
        <f t="shared" si="7"/>
        <v>5</v>
      </c>
      <c r="Q8" s="21">
        <f t="shared" si="5"/>
        <v>10.05982905982906</v>
      </c>
      <c r="R8" s="19"/>
      <c r="S8" s="19"/>
      <c r="T8" s="19"/>
      <c r="U8" s="19"/>
      <c r="V8" s="18"/>
    </row>
    <row r="9" spans="3:22" ht="15" x14ac:dyDescent="0.3">
      <c r="C9" s="5" t="s">
        <v>7</v>
      </c>
      <c r="D9" s="6">
        <f t="shared" si="0"/>
        <v>7</v>
      </c>
      <c r="H9" s="11">
        <f t="shared" si="6"/>
        <v>6</v>
      </c>
      <c r="I9" s="1">
        <v>7</v>
      </c>
      <c r="J9" s="1">
        <f t="shared" si="1"/>
        <v>5.6000000000000005</v>
      </c>
      <c r="K9" s="1">
        <f t="shared" si="2"/>
        <v>4.2</v>
      </c>
      <c r="L9" s="1">
        <f t="shared" si="3"/>
        <v>2.8000000000000003</v>
      </c>
      <c r="M9" s="6">
        <f t="shared" si="4"/>
        <v>1.4000000000000001</v>
      </c>
      <c r="P9" s="11">
        <f t="shared" si="7"/>
        <v>6</v>
      </c>
      <c r="Q9" s="21">
        <f t="shared" si="5"/>
        <v>6.4017094017094021</v>
      </c>
      <c r="R9" s="19"/>
      <c r="S9" s="19"/>
      <c r="T9" s="19"/>
      <c r="U9" s="19"/>
      <c r="V9" s="18"/>
    </row>
    <row r="10" spans="3:22" ht="15" x14ac:dyDescent="0.3">
      <c r="C10" s="5" t="s">
        <v>8</v>
      </c>
      <c r="D10" s="6">
        <f t="shared" si="0"/>
        <v>8</v>
      </c>
      <c r="H10" s="11">
        <f t="shared" si="6"/>
        <v>7</v>
      </c>
      <c r="I10" s="1">
        <v>8</v>
      </c>
      <c r="J10" s="1">
        <f t="shared" si="1"/>
        <v>6.4</v>
      </c>
      <c r="K10" s="1">
        <f t="shared" si="2"/>
        <v>4.8</v>
      </c>
      <c r="L10" s="1">
        <f t="shared" si="3"/>
        <v>3.2</v>
      </c>
      <c r="M10" s="6">
        <f t="shared" si="4"/>
        <v>1.6</v>
      </c>
      <c r="P10" s="11">
        <f t="shared" si="7"/>
        <v>7</v>
      </c>
      <c r="Q10" s="21">
        <f t="shared" si="5"/>
        <v>7.3162393162393169</v>
      </c>
      <c r="R10" s="19"/>
      <c r="S10" s="19"/>
      <c r="T10" s="19"/>
      <c r="U10" s="19"/>
      <c r="V10" s="18"/>
    </row>
    <row r="11" spans="3:22" ht="15" x14ac:dyDescent="0.3">
      <c r="C11" s="5" t="s">
        <v>10</v>
      </c>
      <c r="D11" s="6">
        <f t="shared" si="0"/>
        <v>9</v>
      </c>
      <c r="H11" s="11">
        <f t="shared" si="6"/>
        <v>8</v>
      </c>
      <c r="I11" s="1">
        <v>9</v>
      </c>
      <c r="J11" s="1">
        <f t="shared" si="1"/>
        <v>7.2</v>
      </c>
      <c r="K11" s="1">
        <f t="shared" si="2"/>
        <v>5.3999999999999995</v>
      </c>
      <c r="L11" s="1">
        <f t="shared" si="3"/>
        <v>3.6</v>
      </c>
      <c r="M11" s="6">
        <f t="shared" si="4"/>
        <v>1.8</v>
      </c>
      <c r="P11" s="11">
        <f t="shared" si="7"/>
        <v>8</v>
      </c>
      <c r="Q11" s="21">
        <f t="shared" si="5"/>
        <v>8.2307692307692317</v>
      </c>
      <c r="R11" s="19"/>
      <c r="S11" s="19"/>
      <c r="T11" s="19"/>
      <c r="U11" s="19"/>
      <c r="V11" s="18"/>
    </row>
    <row r="12" spans="3:22" ht="15" x14ac:dyDescent="0.3">
      <c r="C12" s="5" t="s">
        <v>11</v>
      </c>
      <c r="D12" s="6">
        <f t="shared" si="0"/>
        <v>10</v>
      </c>
      <c r="H12" s="11">
        <f t="shared" si="6"/>
        <v>9</v>
      </c>
      <c r="I12" s="1">
        <v>6</v>
      </c>
      <c r="J12" s="1">
        <f t="shared" si="1"/>
        <v>4.8000000000000007</v>
      </c>
      <c r="K12" s="1">
        <f t="shared" si="2"/>
        <v>3.5999999999999996</v>
      </c>
      <c r="L12" s="1">
        <f t="shared" si="3"/>
        <v>2.4000000000000004</v>
      </c>
      <c r="M12" s="6">
        <f t="shared" si="4"/>
        <v>1.2000000000000002</v>
      </c>
      <c r="P12" s="11">
        <f t="shared" si="7"/>
        <v>9</v>
      </c>
      <c r="Q12" s="21">
        <f t="shared" si="5"/>
        <v>5.4871794871794872</v>
      </c>
      <c r="R12" s="19"/>
      <c r="S12" s="19"/>
      <c r="T12" s="19"/>
      <c r="U12" s="19"/>
      <c r="V12" s="18"/>
    </row>
    <row r="13" spans="3:22" ht="15" x14ac:dyDescent="0.3">
      <c r="C13" s="5" t="s">
        <v>12</v>
      </c>
      <c r="D13" s="6">
        <f t="shared" si="0"/>
        <v>11</v>
      </c>
      <c r="H13" s="11">
        <f t="shared" si="6"/>
        <v>10</v>
      </c>
      <c r="I13" s="1">
        <v>13</v>
      </c>
      <c r="J13" s="1">
        <f t="shared" si="1"/>
        <v>10.4</v>
      </c>
      <c r="K13" s="1">
        <f t="shared" si="2"/>
        <v>7.8</v>
      </c>
      <c r="L13" s="1">
        <f t="shared" si="3"/>
        <v>5.2</v>
      </c>
      <c r="M13" s="6">
        <f t="shared" si="4"/>
        <v>2.6</v>
      </c>
      <c r="P13" s="11">
        <f t="shared" si="7"/>
        <v>10</v>
      </c>
      <c r="Q13" s="21">
        <f t="shared" si="5"/>
        <v>11.888888888888888</v>
      </c>
      <c r="R13" s="19"/>
      <c r="S13" s="19"/>
      <c r="T13" s="19"/>
      <c r="U13" s="19"/>
      <c r="V13" s="18"/>
    </row>
    <row r="14" spans="3:22" ht="15.6" thickBot="1" x14ac:dyDescent="0.35">
      <c r="C14" s="8" t="s">
        <v>13</v>
      </c>
      <c r="D14" s="9">
        <f t="shared" si="0"/>
        <v>12</v>
      </c>
      <c r="H14" s="11">
        <f t="shared" si="6"/>
        <v>11</v>
      </c>
      <c r="I14" s="1">
        <v>7</v>
      </c>
      <c r="J14" s="1">
        <f t="shared" si="1"/>
        <v>5.6000000000000005</v>
      </c>
      <c r="K14" s="1">
        <f t="shared" si="2"/>
        <v>4.2</v>
      </c>
      <c r="L14" s="1">
        <f t="shared" si="3"/>
        <v>2.8000000000000003</v>
      </c>
      <c r="M14" s="6">
        <f t="shared" si="4"/>
        <v>1.4000000000000001</v>
      </c>
      <c r="P14" s="11">
        <f t="shared" si="7"/>
        <v>11</v>
      </c>
      <c r="Q14" s="21">
        <f t="shared" si="5"/>
        <v>6.4017094017094021</v>
      </c>
      <c r="R14" s="19"/>
      <c r="S14" s="19"/>
      <c r="T14" s="19"/>
      <c r="U14" s="19"/>
      <c r="V14" s="18"/>
    </row>
    <row r="15" spans="3:22" ht="15" thickBot="1" x14ac:dyDescent="0.35">
      <c r="H15" s="13">
        <f t="shared" si="6"/>
        <v>12</v>
      </c>
      <c r="I15" s="14">
        <v>13</v>
      </c>
      <c r="J15" s="14">
        <f t="shared" si="1"/>
        <v>10.4</v>
      </c>
      <c r="K15" s="14">
        <f t="shared" si="2"/>
        <v>7.8</v>
      </c>
      <c r="L15" s="14">
        <f t="shared" si="3"/>
        <v>5.2</v>
      </c>
      <c r="M15" s="9">
        <f t="shared" si="4"/>
        <v>2.6</v>
      </c>
      <c r="P15" s="13">
        <f t="shared" si="7"/>
        <v>12</v>
      </c>
      <c r="Q15" s="21">
        <f t="shared" si="5"/>
        <v>11.888888888888888</v>
      </c>
      <c r="R15" s="19"/>
      <c r="S15" s="19"/>
      <c r="T15" s="19"/>
      <c r="U15" s="19"/>
      <c r="V15" s="18"/>
    </row>
    <row r="17" spans="3:13" ht="15" thickBot="1" x14ac:dyDescent="0.35"/>
    <row r="18" spans="3:13" x14ac:dyDescent="0.3">
      <c r="H18" s="15" t="s">
        <v>15</v>
      </c>
      <c r="I18" s="16"/>
      <c r="J18" s="16"/>
      <c r="K18" s="16"/>
      <c r="L18" s="16"/>
      <c r="M18" s="17"/>
    </row>
    <row r="19" spans="3:13" x14ac:dyDescent="0.3">
      <c r="H19" s="11" t="s">
        <v>0</v>
      </c>
      <c r="I19" s="10">
        <v>1</v>
      </c>
      <c r="J19" s="10">
        <v>0.8</v>
      </c>
      <c r="K19" s="10">
        <v>0.6</v>
      </c>
      <c r="L19" s="10">
        <v>0.4</v>
      </c>
      <c r="M19" s="12">
        <v>0.2</v>
      </c>
    </row>
    <row r="20" spans="3:13" x14ac:dyDescent="0.3">
      <c r="H20" s="11">
        <v>1</v>
      </c>
      <c r="I20" s="1">
        <f>$K$33/$I4</f>
        <v>9.7272727272727266</v>
      </c>
      <c r="J20" s="1">
        <f>0.8*I20</f>
        <v>7.7818181818181813</v>
      </c>
      <c r="K20" s="1">
        <f>0.6*I20</f>
        <v>5.836363636363636</v>
      </c>
      <c r="L20" s="1">
        <f>0.4*I20</f>
        <v>3.8909090909090907</v>
      </c>
      <c r="M20" s="6">
        <f>0.2*I20</f>
        <v>1.9454545454545453</v>
      </c>
    </row>
    <row r="21" spans="3:13" x14ac:dyDescent="0.3">
      <c r="C21" s="18"/>
      <c r="D21" s="19"/>
      <c r="E21" s="18"/>
      <c r="H21" s="11">
        <f>H20+1</f>
        <v>2</v>
      </c>
      <c r="I21" s="1">
        <f t="shared" ref="I21:I31" si="8">$K$33/I5</f>
        <v>7.1333333333333337</v>
      </c>
      <c r="J21" s="1">
        <f t="shared" ref="J21:J31" si="9">0.8*I21</f>
        <v>5.706666666666667</v>
      </c>
      <c r="K21" s="1">
        <f t="shared" ref="K21:K31" si="10">0.6*I21</f>
        <v>4.28</v>
      </c>
      <c r="L21" s="1">
        <f t="shared" ref="L21:L31" si="11">0.4*I21</f>
        <v>2.8533333333333335</v>
      </c>
      <c r="M21" s="6">
        <f t="shared" ref="M21:M31" si="12">0.2*I21</f>
        <v>1.4266666666666667</v>
      </c>
    </row>
    <row r="22" spans="3:13" x14ac:dyDescent="0.3">
      <c r="C22" s="18"/>
      <c r="D22" s="19"/>
      <c r="E22" s="18"/>
      <c r="H22" s="11">
        <f t="shared" ref="H22:H31" si="13">H21+1</f>
        <v>3</v>
      </c>
      <c r="I22" s="1">
        <f t="shared" si="8"/>
        <v>8.9166666666666661</v>
      </c>
      <c r="J22" s="1">
        <f t="shared" si="9"/>
        <v>7.1333333333333329</v>
      </c>
      <c r="K22" s="1">
        <f t="shared" si="10"/>
        <v>5.35</v>
      </c>
      <c r="L22" s="1">
        <f t="shared" si="11"/>
        <v>3.5666666666666664</v>
      </c>
      <c r="M22" s="6">
        <f t="shared" si="12"/>
        <v>1.7833333333333332</v>
      </c>
    </row>
    <row r="23" spans="3:13" x14ac:dyDescent="0.3">
      <c r="C23" s="18"/>
      <c r="D23" s="19"/>
      <c r="E23" s="18"/>
      <c r="H23" s="11">
        <f t="shared" si="13"/>
        <v>4</v>
      </c>
      <c r="I23" s="1">
        <f t="shared" si="8"/>
        <v>21.4</v>
      </c>
      <c r="J23" s="1">
        <f t="shared" si="9"/>
        <v>17.12</v>
      </c>
      <c r="K23" s="1">
        <f t="shared" si="10"/>
        <v>12.839999999999998</v>
      </c>
      <c r="L23" s="1">
        <f t="shared" si="11"/>
        <v>8.56</v>
      </c>
      <c r="M23" s="6">
        <f t="shared" si="12"/>
        <v>4.28</v>
      </c>
    </row>
    <row r="24" spans="3:13" x14ac:dyDescent="0.3">
      <c r="C24" s="18"/>
      <c r="D24" s="19"/>
      <c r="E24" s="18"/>
      <c r="H24" s="11">
        <f t="shared" si="13"/>
        <v>5</v>
      </c>
      <c r="I24" s="1">
        <f t="shared" si="8"/>
        <v>9.7272727272727266</v>
      </c>
      <c r="J24" s="1">
        <f t="shared" si="9"/>
        <v>7.7818181818181813</v>
      </c>
      <c r="K24" s="1">
        <f t="shared" si="10"/>
        <v>5.836363636363636</v>
      </c>
      <c r="L24" s="1">
        <f t="shared" si="11"/>
        <v>3.8909090909090907</v>
      </c>
      <c r="M24" s="6">
        <f t="shared" si="12"/>
        <v>1.9454545454545453</v>
      </c>
    </row>
    <row r="25" spans="3:13" x14ac:dyDescent="0.3">
      <c r="H25" s="11">
        <f t="shared" si="13"/>
        <v>6</v>
      </c>
      <c r="I25" s="1">
        <f t="shared" si="8"/>
        <v>15.285714285714286</v>
      </c>
      <c r="J25" s="1">
        <f t="shared" si="9"/>
        <v>12.22857142857143</v>
      </c>
      <c r="K25" s="1">
        <f t="shared" si="10"/>
        <v>9.1714285714285708</v>
      </c>
      <c r="L25" s="1">
        <f t="shared" si="11"/>
        <v>6.1142857142857148</v>
      </c>
      <c r="M25" s="6">
        <f t="shared" si="12"/>
        <v>3.0571428571428574</v>
      </c>
    </row>
    <row r="26" spans="3:13" x14ac:dyDescent="0.3">
      <c r="H26" s="11">
        <f t="shared" si="13"/>
        <v>7</v>
      </c>
      <c r="I26" s="1">
        <f t="shared" si="8"/>
        <v>13.375</v>
      </c>
      <c r="J26" s="1">
        <f t="shared" si="9"/>
        <v>10.700000000000001</v>
      </c>
      <c r="K26" s="1">
        <f t="shared" si="10"/>
        <v>8.0250000000000004</v>
      </c>
      <c r="L26" s="1">
        <f t="shared" si="11"/>
        <v>5.3500000000000005</v>
      </c>
      <c r="M26" s="6">
        <f t="shared" si="12"/>
        <v>2.6750000000000003</v>
      </c>
    </row>
    <row r="27" spans="3:13" x14ac:dyDescent="0.3">
      <c r="H27" s="11">
        <f t="shared" si="13"/>
        <v>8</v>
      </c>
      <c r="I27" s="1">
        <f t="shared" si="8"/>
        <v>11.888888888888889</v>
      </c>
      <c r="J27" s="1">
        <f t="shared" si="9"/>
        <v>9.5111111111111111</v>
      </c>
      <c r="K27" s="1">
        <f t="shared" si="10"/>
        <v>7.1333333333333337</v>
      </c>
      <c r="L27" s="1">
        <f t="shared" si="11"/>
        <v>4.7555555555555555</v>
      </c>
      <c r="M27" s="6">
        <f t="shared" si="12"/>
        <v>2.3777777777777778</v>
      </c>
    </row>
    <row r="28" spans="3:13" x14ac:dyDescent="0.3">
      <c r="H28" s="11">
        <f t="shared" si="13"/>
        <v>9</v>
      </c>
      <c r="I28" s="1">
        <f t="shared" si="8"/>
        <v>17.833333333333332</v>
      </c>
      <c r="J28" s="1">
        <f t="shared" si="9"/>
        <v>14.266666666666666</v>
      </c>
      <c r="K28" s="1">
        <f t="shared" si="10"/>
        <v>10.7</v>
      </c>
      <c r="L28" s="1">
        <f t="shared" si="11"/>
        <v>7.1333333333333329</v>
      </c>
      <c r="M28" s="6">
        <f t="shared" si="12"/>
        <v>3.5666666666666664</v>
      </c>
    </row>
    <row r="29" spans="3:13" x14ac:dyDescent="0.3">
      <c r="H29" s="11">
        <f t="shared" si="13"/>
        <v>10</v>
      </c>
      <c r="I29" s="1">
        <f t="shared" si="8"/>
        <v>8.2307692307692299</v>
      </c>
      <c r="J29" s="1">
        <f t="shared" si="9"/>
        <v>6.5846153846153843</v>
      </c>
      <c r="K29" s="1">
        <f t="shared" si="10"/>
        <v>4.9384615384615378</v>
      </c>
      <c r="L29" s="1">
        <f t="shared" si="11"/>
        <v>3.2923076923076922</v>
      </c>
      <c r="M29" s="6">
        <f t="shared" si="12"/>
        <v>1.6461538461538461</v>
      </c>
    </row>
    <row r="30" spans="3:13" x14ac:dyDescent="0.3">
      <c r="H30" s="11">
        <f t="shared" si="13"/>
        <v>11</v>
      </c>
      <c r="I30" s="1">
        <f t="shared" si="8"/>
        <v>15.285714285714286</v>
      </c>
      <c r="J30" s="1">
        <f t="shared" si="9"/>
        <v>12.22857142857143</v>
      </c>
      <c r="K30" s="1">
        <f t="shared" si="10"/>
        <v>9.1714285714285708</v>
      </c>
      <c r="L30" s="1">
        <f t="shared" si="11"/>
        <v>6.1142857142857148</v>
      </c>
      <c r="M30" s="6">
        <f t="shared" si="12"/>
        <v>3.0571428571428574</v>
      </c>
    </row>
    <row r="31" spans="3:13" ht="15" thickBot="1" x14ac:dyDescent="0.35">
      <c r="H31" s="13">
        <f t="shared" si="13"/>
        <v>12</v>
      </c>
      <c r="I31" s="14">
        <f t="shared" si="8"/>
        <v>8.2307692307692299</v>
      </c>
      <c r="J31" s="14">
        <f t="shared" si="9"/>
        <v>6.5846153846153843</v>
      </c>
      <c r="K31" s="14">
        <f t="shared" si="10"/>
        <v>4.9384615384615378</v>
      </c>
      <c r="L31" s="14">
        <f t="shared" si="11"/>
        <v>3.2923076923076922</v>
      </c>
      <c r="M31" s="9">
        <f t="shared" si="12"/>
        <v>1.6461538461538461</v>
      </c>
    </row>
    <row r="32" spans="3:13" x14ac:dyDescent="0.3">
      <c r="H32"/>
    </row>
    <row r="33" spans="8:16" x14ac:dyDescent="0.3">
      <c r="H33"/>
      <c r="J33" t="s">
        <v>16</v>
      </c>
      <c r="K33">
        <v>107</v>
      </c>
      <c r="O33" t="s">
        <v>17</v>
      </c>
      <c r="P33">
        <v>117</v>
      </c>
    </row>
    <row r="34" spans="8:16" x14ac:dyDescent="0.3">
      <c r="H34"/>
    </row>
  </sheetData>
  <mergeCells count="3">
    <mergeCell ref="H2:M2"/>
    <mergeCell ref="H18:M18"/>
    <mergeCell ref="P2: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Cruz Mondino</cp:lastModifiedBy>
  <dcterms:created xsi:type="dcterms:W3CDTF">2015-06-05T18:17:20Z</dcterms:created>
  <dcterms:modified xsi:type="dcterms:W3CDTF">2025-10-31T21:31:46Z</dcterms:modified>
</cp:coreProperties>
</file>